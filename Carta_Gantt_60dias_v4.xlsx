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a Gantt" sheetId="1" state="visible" r:id="rId3"/>
    <sheet name="Resumen Cuadrillas" sheetId="2" state="visible" r:id="rId4"/>
    <sheet name="Dotación Diaria" sheetId="3" state="visible" r:id="rId5"/>
    <sheet name="Chequeo vs Presupuest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<sst xmlns="http://schemas.openxmlformats.org/spreadsheetml/2006/main" count="343" uniqueCount="159">
  <si>
    <t xml:space="preserve">CARTA GANTT 60 DÍAS CORRIDOS — PROYECTO DOÑA CARNE MANQUEHUE 1 (cuadrillas consolidadas por especialidad)</t>
  </si>
  <si>
    <t xml:space="preserve">Una misma cuadrilla por especialidad ejecuta varios ítems chicos en secuencia (no una cuadrilla dedicada por ítem). Ver hoja 'Resumen Cuadrillas' y 'Chequeo vs Presupuesto'.</t>
  </si>
  <si>
    <t xml:space="preserve">Cuadrilla / Especialidad</t>
  </si>
  <si>
    <t xml:space="preserve">Sección</t>
  </si>
  <si>
    <t xml:space="preserve">N°</t>
  </si>
  <si>
    <t xml:space="preserve">Partida</t>
  </si>
  <si>
    <t xml:space="preserve">Unidad</t>
  </si>
  <si>
    <t xml:space="preserve">Cantidad</t>
  </si>
  <si>
    <t xml:space="preserve">Rendimiento
(u/día x cuadrilla)</t>
  </si>
  <si>
    <t xml:space="preserve">Cuadrilla-días
necesarios</t>
  </si>
  <si>
    <t xml:space="preserve">Ventana
Día Ini</t>
  </si>
  <si>
    <t xml:space="preserve">Ventana
Día Fin</t>
  </si>
  <si>
    <t xml:space="preserve">T1. Demolición y Retiros</t>
  </si>
  <si>
    <t xml:space="preserve">A. DEMOLICIONES Y RETIROS</t>
  </si>
  <si>
    <t xml:space="preserve">1</t>
  </si>
  <si>
    <t xml:space="preserve">Retiro de piso flotante existente 1er Nivel</t>
  </si>
  <si>
    <t xml:space="preserve">m2</t>
  </si>
  <si>
    <t xml:space="preserve">2</t>
  </si>
  <si>
    <t xml:space="preserve">Retiro de piso flotante existente 2do nivel</t>
  </si>
  <si>
    <t xml:space="preserve">5</t>
  </si>
  <si>
    <t xml:space="preserve">Retiro de cielo americano existente 1er Piso</t>
  </si>
  <si>
    <t xml:space="preserve">6</t>
  </si>
  <si>
    <t xml:space="preserve">Retiro de cielo americano existente 2do Piso</t>
  </si>
  <si>
    <t xml:space="preserve">T2. Obra Gruesa / Hormigones</t>
  </si>
  <si>
    <t xml:space="preserve">3</t>
  </si>
  <si>
    <t xml:space="preserve">Rotura de pavimento para paso de alcantarillado</t>
  </si>
  <si>
    <t xml:space="preserve">4</t>
  </si>
  <si>
    <t xml:space="preserve">Reposición de pavimento para paso de alcantarillado</t>
  </si>
  <si>
    <t xml:space="preserve">8</t>
  </si>
  <si>
    <t xml:space="preserve">Rotura piso hormigón Sala congelados H=0,6m</t>
  </si>
  <si>
    <t xml:space="preserve">m3</t>
  </si>
  <si>
    <t xml:space="preserve">9</t>
  </si>
  <si>
    <t xml:space="preserve">Hormigón piso sala de congelados e=100mm</t>
  </si>
  <si>
    <t xml:space="preserve">11</t>
  </si>
  <si>
    <t xml:space="preserve">Barrera de vapor</t>
  </si>
  <si>
    <t xml:space="preserve">12</t>
  </si>
  <si>
    <t xml:space="preserve">Panel de piso Isopur bajo losa e=150mm</t>
  </si>
  <si>
    <t xml:space="preserve">13</t>
  </si>
  <si>
    <t xml:space="preserve">Hormigón Subsuelo base cámara de frío</t>
  </si>
  <si>
    <t xml:space="preserve">16</t>
  </si>
  <si>
    <t xml:space="preserve">Radier afinado área residuos y bodega PR2</t>
  </si>
  <si>
    <t xml:space="preserve">T3. Enfierradura</t>
  </si>
  <si>
    <t xml:space="preserve">10</t>
  </si>
  <si>
    <t xml:space="preserve">Armadura refuerzo piso cámara congelados</t>
  </si>
  <si>
    <t xml:space="preserve">kg</t>
  </si>
  <si>
    <t xml:space="preserve">T4. Zócalos y Ángulos</t>
  </si>
  <si>
    <t xml:space="preserve">14</t>
  </si>
  <si>
    <t xml:space="preserve">Zócalo paneles Hormigón armado con cadena</t>
  </si>
  <si>
    <t xml:space="preserve">ml</t>
  </si>
  <si>
    <t xml:space="preserve">15</t>
  </si>
  <si>
    <t xml:space="preserve">Ángulo de aluminio montaje de paneles</t>
  </si>
  <si>
    <t xml:space="preserve">T5. Tabiquería / Drywall</t>
  </si>
  <si>
    <t xml:space="preserve">B. ESTRUCTURA Y TABIQUERÍA NUEVA</t>
  </si>
  <si>
    <t xml:space="preserve">Tabiquería interior tipo TV3</t>
  </si>
  <si>
    <t xml:space="preserve">Tabiquería interior tipo TVH4</t>
  </si>
  <si>
    <t xml:space="preserve">Tabiquería interior tipo TRF5</t>
  </si>
  <si>
    <t xml:space="preserve">Tabiquería interior tipo TVS6</t>
  </si>
  <si>
    <t xml:space="preserve">Tabiquería interior tipo TVC8</t>
  </si>
  <si>
    <t xml:space="preserve">Tabique cierre ventana 2do Nivel</t>
  </si>
  <si>
    <t xml:space="preserve">Cenefa shaft paso alcantarillado</t>
  </si>
  <si>
    <t xml:space="preserve">T6. Estructura Metálica</t>
  </si>
  <si>
    <t xml:space="preserve">Estructura metálica refuerzo 2do Nivel</t>
  </si>
  <si>
    <t xml:space="preserve">7</t>
  </si>
  <si>
    <t xml:space="preserve">Estructura metálica soporte equipos exteriores</t>
  </si>
  <si>
    <t xml:space="preserve">T7. Paneles Frigoríficos</t>
  </si>
  <si>
    <t xml:space="preserve">C. PANELES CÁMARA DE FRÍO</t>
  </si>
  <si>
    <t xml:space="preserve">Paneles de muro Isopol POL1</t>
  </si>
  <si>
    <t xml:space="preserve">Paneles de muro Isopur PUR2</t>
  </si>
  <si>
    <t xml:space="preserve">Instalación paneles de cielo y muro</t>
  </si>
  <si>
    <t xml:space="preserve">Instalación panel de piso bajo Losa</t>
  </si>
  <si>
    <t xml:space="preserve">T8. Cielos</t>
  </si>
  <si>
    <t xml:space="preserve">D. CIELOS</t>
  </si>
  <si>
    <t xml:space="preserve">Cielos tipo CV1</t>
  </si>
  <si>
    <t xml:space="preserve">Cielos tipo CV2</t>
  </si>
  <si>
    <t xml:space="preserve">Cielo tipo Modular CM3</t>
  </si>
  <si>
    <t xml:space="preserve">Cielo RF-120 tipo CF4</t>
  </si>
  <si>
    <t xml:space="preserve">Cielo Panel Kover 50 CK5</t>
  </si>
  <si>
    <t xml:space="preserve">Cielo Panel Isopol 100 CPO6</t>
  </si>
  <si>
    <t xml:space="preserve">Cielo Panel Isopur 100 CPU</t>
  </si>
  <si>
    <t xml:space="preserve">T9. Pisos / Cerámicos</t>
  </si>
  <si>
    <t xml:space="preserve">E. TERMINACIONES DE PISO</t>
  </si>
  <si>
    <t xml:space="preserve">Baldosa Budnik PB1</t>
  </si>
  <si>
    <t xml:space="preserve">Pavimento Vinílico 2do Piso PV3</t>
  </si>
  <si>
    <t xml:space="preserve">Radón sanitario terminación 90°</t>
  </si>
  <si>
    <t xml:space="preserve">Cerámico en muros Zona TVH4</t>
  </si>
  <si>
    <t xml:space="preserve">Cerámico en muros Sala de ventas</t>
  </si>
  <si>
    <t xml:space="preserve">T10a. Pintura Estructura</t>
  </si>
  <si>
    <t xml:space="preserve">F. PINTURA</t>
  </si>
  <si>
    <t xml:space="preserve">Pintura intumescente refuerzo estructural</t>
  </si>
  <si>
    <t xml:space="preserve">Anticorrosivo refuerzo estructural+soporte equipos</t>
  </si>
  <si>
    <t xml:space="preserve">Pintura terminación refuerzo estructural+soporte</t>
  </si>
  <si>
    <t xml:space="preserve">T10b. Pintura Interior</t>
  </si>
  <si>
    <t xml:space="preserve">Pintura completa interior esmalte al agua</t>
  </si>
  <si>
    <t xml:space="preserve">T11. Hojalatería / Cubierta</t>
  </si>
  <si>
    <t xml:space="preserve">G. HOJALATERÍA Y CUBIERTA</t>
  </si>
  <si>
    <t xml:space="preserve">Hojalatería forro coronación galv. 0,4mm</t>
  </si>
  <si>
    <t xml:space="preserve">Revestimiento exterior plancha galv. 0,4mm PV7</t>
  </si>
  <si>
    <t xml:space="preserve">Montaje revestimiento exterior plancha galv.</t>
  </si>
  <si>
    <t xml:space="preserve">Plataforma metálica equipos aire</t>
  </si>
  <si>
    <t xml:space="preserve">Global reparación de cubierta</t>
  </si>
  <si>
    <t xml:space="preserve">gl</t>
  </si>
  <si>
    <t xml:space="preserve">T12. Gasfitería</t>
  </si>
  <si>
    <t xml:space="preserve">G. INSTALACIONES</t>
  </si>
  <si>
    <t xml:space="preserve">Instalaciones sanitarias (obra civil asociada)</t>
  </si>
  <si>
    <t xml:space="preserve">T13. Limpieza / Retiro escombros</t>
  </si>
  <si>
    <t xml:space="preserve">Retiro de escombros (continuo)</t>
  </si>
  <si>
    <t xml:space="preserve">RESUMEN DE CUADRILLAS CONSOLIDADAS POR ESPECIALIDAD</t>
  </si>
  <si>
    <t xml:space="preserve">Cuadrilla-días totales
(suma ítems)</t>
  </si>
  <si>
    <t xml:space="preserve">Días
ventana</t>
  </si>
  <si>
    <t xml:space="preserve">Cuadrillas
necesarias</t>
  </si>
  <si>
    <t xml:space="preserve">Personas
x cuadrilla</t>
  </si>
  <si>
    <t xml:space="preserve">Dotación
total (pers.)</t>
  </si>
  <si>
    <t xml:space="preserve">Duración real
(días)</t>
  </si>
  <si>
    <t xml:space="preserve">TOTAL personas-día del programa (suma dotación x duración real):</t>
  </si>
  <si>
    <t xml:space="preserve">DOTACIÓN DE PERSONAL POR DÍA (consolidada por cuadrilla)</t>
  </si>
  <si>
    <t xml:space="preserve">Día</t>
  </si>
  <si>
    <t xml:space="preserve">Personas en obra</t>
  </si>
  <si>
    <t xml:space="preserve">Dotación PEAK:</t>
  </si>
  <si>
    <t xml:space="preserve">Dotación PROMEDIO:</t>
  </si>
  <si>
    <t xml:space="preserve">CHEQUEO: ¿LA DOTACIÓN Y MAQUINARIA DEL PROGRAMA CUADRAN CON EL PRESUPUESTO?</t>
  </si>
  <si>
    <t xml:space="preserve">Mano de obra de las cuadrillas viene del Subtotal de partidas (precio unitario). Gastos Generales (GG) NO es mano de obra adicional: financia supervisión, maquinaria/equipos, bodega, cierre de faena, seguros, agua/luz.</t>
  </si>
  <si>
    <t xml:space="preserve">BLOQUE 1 — MANO DE OBRA (viene del Subtotal de Partidas, NO de los GG)</t>
  </si>
  <si>
    <t xml:space="preserve">Subtotal partidas a cotizar (CLP) — de tu presupuesto</t>
  </si>
  <si>
    <t xml:space="preserve">% estimado de Mano de Obra dentro del precio unitario (ajustable)</t>
  </si>
  <si>
    <t xml:space="preserve">Mano de obra implícita en las partidas (CLP)</t>
  </si>
  <si>
    <t xml:space="preserve">Jornal diario promedio por persona, costo empresa c/cargas (CLP) (ajustable)</t>
  </si>
  <si>
    <t xml:space="preserve">Días corridos totales del programa</t>
  </si>
  <si>
    <t xml:space="preserve">Días hábiles estimados (60 corridos - domingos)</t>
  </si>
  <si>
    <t xml:space="preserve">Personas-día que financian las partidas (Mano de obra / Jornal)</t>
  </si>
  <si>
    <t xml:space="preserve">Dotación PROMEDIO que las partidas pueden financiar</t>
  </si>
  <si>
    <t xml:space="preserve">Personas-día que efectivamente usa el programa (Carta Gantt)</t>
  </si>
  <si>
    <t xml:space="preserve">Dotación PROMEDIO del programa (Carta Gantt)</t>
  </si>
  <si>
    <t xml:space="preserve">Dotación PEAK del programa (Carta Gantt)</t>
  </si>
  <si>
    <t xml:space="preserve">Holgura mano de obra (personas-día)</t>
  </si>
  <si>
    <t xml:space="preserve">¿Cuadra la mano de obra?</t>
  </si>
  <si>
    <t xml:space="preserve">BLOQUE 2 — GASTOS GENERALES (maquinaria, equipos, supervisión, faena)</t>
  </si>
  <si>
    <t xml:space="preserve">Gastos Generales del presupuesto (CLP) — 28% del subtotal</t>
  </si>
  <si>
    <t xml:space="preserve">% GG destinado a Maquinaria y Equipos (ajustable)</t>
  </si>
  <si>
    <t xml:space="preserve">% GG destinado a Administración / Supervisión (ajustable)</t>
  </si>
  <si>
    <t xml:space="preserve">% GG destinado a Otros (bodega, cierre, agua/luz, seguros) (ajustable)</t>
  </si>
  <si>
    <t xml:space="preserve">Monto GG para Maquinaria y Equipos (CLP)</t>
  </si>
  <si>
    <t xml:space="preserve">Monto GG para Administración/Supervisión (CLP)</t>
  </si>
  <si>
    <t xml:space="preserve">Monto GG para Otros (CLP)</t>
  </si>
  <si>
    <t xml:space="preserve">BLOQUE 3 — MAQUINARIA/EQUIPOS QUE REQUIERE EL PROGRAMA (estimado, contra GG-Maquinaria)</t>
  </si>
  <si>
    <t xml:space="preserve">Equipo / Arriendo</t>
  </si>
  <si>
    <t xml:space="preserve">Cuadrilla que lo usa</t>
  </si>
  <si>
    <t xml:space="preserve">Costo diario arriendo (CLP, ajustable)</t>
  </si>
  <si>
    <t xml:space="preserve">Días de uso (según duración real)</t>
  </si>
  <si>
    <t xml:space="preserve">Costo total (CLP)</t>
  </si>
  <si>
    <t xml:space="preserve">Martillo demoledor + compresor</t>
  </si>
  <si>
    <t xml:space="preserve">Mixer/betonera + vibrador hormigón</t>
  </si>
  <si>
    <t xml:space="preserve">Dobladora/cizalla fierro</t>
  </si>
  <si>
    <t xml:space="preserve">Equipo soldadura + amoladora</t>
  </si>
  <si>
    <t xml:space="preserve">Andamios + grúa pluma fachada</t>
  </si>
  <si>
    <t xml:space="preserve">Plataforma elevadora paneles</t>
  </si>
  <si>
    <t xml:space="preserve">Herramientas menores varias (todas las cuadrillas)</t>
  </si>
  <si>
    <t xml:space="preserve">Todas</t>
  </si>
  <si>
    <t xml:space="preserve">TOTAL maquinaria/equipos requerida por el programa (CLP):</t>
  </si>
  <si>
    <t xml:space="preserve">¿Cuadra la maquinaria contra el monto de GG-Maquinaria?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</si>
</sst>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i val="true"/>
      <sz val="9"/>
      <color rgb="FF666666"/>
      <name val="Cambria"/>
      <family val="0"/>
      <charset val="1"/>
    </font>
    <font>
      <b val="true"/>
      <sz val="8"/>
      <color rgb="FFFFFFFF"/>
      <name val="Cambria"/>
      <family val="0"/>
      <charset val="1"/>
    </font>
    <font>
      <b val="true"/>
      <sz val="7"/>
      <color rgb="FFFFFFFF"/>
      <name val="Cambria"/>
      <family val="0"/>
      <charset val="1"/>
    </font>
    <font>
      <sz val="8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sz val="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name val="Cambria"/>
      <family val="0"/>
      <charset val="1"/>
    </font>
    <font>
      <sz val="10"/>
      <color rgb="FF0000FF"/>
      <name val="Cambria"/>
      <family val="0"/>
      <charset val="1"/>
    </font>
    <font>
      <sz val="9"/>
      <color rgb="FF0000FF"/>
      <name val="Cambria"/>
      <family val="0"/>
      <charset val="1"/>
    </font>
    <font>
      <b val="true"/>
      <sz val="10"/>
      <name val="Cambria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4B084"/>
        <bgColor rgb="FFF8CBAD"/>
      </patternFill>
    </fill>
    <fill>
      <patternFill patternType="solid">
        <fgColor rgb="FFF8CBAD"/>
        <bgColor rgb="FFF4CCCC"/>
      </patternFill>
    </fill>
    <fill>
      <patternFill patternType="solid">
        <fgColor rgb="FFFFE0B2"/>
        <bgColor rgb="FFFFD8A8"/>
      </patternFill>
    </fill>
    <fill>
      <patternFill patternType="solid">
        <fgColor rgb="FFFFD8A8"/>
        <bgColor rgb="FFFFE0B2"/>
      </patternFill>
    </fill>
    <fill>
      <patternFill patternType="solid">
        <fgColor rgb="FF9DC3E6"/>
        <bgColor rgb="FFB4A7D6"/>
      </patternFill>
    </fill>
    <fill>
      <patternFill patternType="solid">
        <fgColor rgb="FF6FA8DC"/>
        <bgColor rgb="FF9DC3E6"/>
      </patternFill>
    </fill>
    <fill>
      <patternFill patternType="solid">
        <fgColor rgb="FFA9D18E"/>
        <bgColor rgb="FFCCCCCC"/>
      </patternFill>
    </fill>
    <fill>
      <patternFill patternType="solid">
        <fgColor rgb="FFB4A7D6"/>
        <bgColor rgb="FF9DC3E6"/>
      </patternFill>
    </fill>
    <fill>
      <patternFill patternType="solid">
        <fgColor rgb="FFF4CCCC"/>
        <bgColor rgb="FFF8CBAD"/>
      </patternFill>
    </fill>
    <fill>
      <patternFill patternType="solid">
        <fgColor rgb="FFFFE699"/>
        <bgColor rgb="FFFFE0B2"/>
      </patternFill>
    </fill>
    <fill>
      <patternFill patternType="solid">
        <fgColor rgb="FFFFF2CC"/>
        <bgColor rgb="FFFFE0B2"/>
      </patternFill>
    </fill>
    <fill>
      <patternFill patternType="solid">
        <fgColor rgb="FFFFD966"/>
        <bgColor rgb="FFFFE699"/>
      </patternFill>
    </fill>
    <fill>
      <patternFill patternType="solid">
        <fgColor rgb="FFC9DAF8"/>
        <bgColor rgb="FFD9D9D9"/>
      </patternFill>
    </fill>
    <fill>
      <patternFill patternType="solid">
        <fgColor rgb="FFD9D9D9"/>
        <bgColor rgb="FFCCCCCC"/>
      </patternFill>
    </fill>
    <fill>
      <patternFill patternType="solid">
        <fgColor rgb="FF2E75B6"/>
        <bgColor rgb="FF4F81B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D8A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6FA8DC"/>
      <rgbColor rgb="FF993366"/>
      <rgbColor rgb="FFFFF2CC"/>
      <rgbColor rgb="FFFFE0B2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CCCC"/>
      <rgbColor rgb="FFD9D9D9"/>
      <rgbColor rgb="FFFFE699"/>
      <rgbColor rgb="FF9DC3E6"/>
      <rgbColor rgb="FFF4B084"/>
      <rgbColor rgb="FFB4A7D6"/>
      <rgbColor rgb="FFF8CBAD"/>
      <rgbColor rgb="FF2E75B6"/>
      <rgbColor rgb="FF33CCCC"/>
      <rgbColor rgb="FF99CC00"/>
      <rgbColor rgb="FFFFD966"/>
      <rgbColor rgb="FFFF9900"/>
      <rgbColor rgb="FFFF6600"/>
      <rgbColor rgb="FF666666"/>
      <rgbColor rgb="FFA9D18E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Dotación de personal por día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'Dotación Diaria'!B3</c:f>
              <c:strCache>
                <c:ptCount val="1"/>
                <c:pt idx="0">
                  <c:v>Personas en obra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'Dotación Diaria'!$A$4:$A$63</c:f>
              <c:strCach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strCache>
            </c:strRef>
          </c:cat>
          <c:val>
            <c:numRef>
              <c:f>'Dotación Diaria'!$B$4:$B$63</c:f>
              <c:numCache>
                <c:formatCode>General</c:formatCode>
                <c:ptCount val="60"/>
                <c:pt idx="0">
                  <c:v>9</c:v>
                </c:pt>
                <c:pt idx="1">
                  <c:v>9</c:v>
                </c:pt>
                <c:pt idx="2">
                  <c:v>15</c:v>
                </c:pt>
                <c:pt idx="3">
                  <c:v>19</c:v>
                </c:pt>
                <c:pt idx="4">
                  <c:v>19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23</c:v>
                </c:pt>
                <c:pt idx="10">
                  <c:v>19</c:v>
                </c:pt>
                <c:pt idx="11">
                  <c:v>26</c:v>
                </c:pt>
                <c:pt idx="12">
                  <c:v>26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24</c:v>
                </c:pt>
                <c:pt idx="18">
                  <c:v>24</c:v>
                </c:pt>
                <c:pt idx="19">
                  <c:v>28</c:v>
                </c:pt>
                <c:pt idx="20">
                  <c:v>24</c:v>
                </c:pt>
                <c:pt idx="21">
                  <c:v>24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25</c:v>
                </c:pt>
                <c:pt idx="26">
                  <c:v>19</c:v>
                </c:pt>
                <c:pt idx="27">
                  <c:v>19</c:v>
                </c:pt>
                <c:pt idx="28">
                  <c:v>17</c:v>
                </c:pt>
                <c:pt idx="29">
                  <c:v>17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11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15</c:v>
                </c:pt>
                <c:pt idx="38">
                  <c:v>15</c:v>
                </c:pt>
                <c:pt idx="39">
                  <c:v>15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11</c:v>
                </c:pt>
                <c:pt idx="44">
                  <c:v>11</c:v>
                </c:pt>
                <c:pt idx="45">
                  <c:v>11</c:v>
                </c:pt>
                <c:pt idx="46">
                  <c:v>11</c:v>
                </c:pt>
                <c:pt idx="47">
                  <c:v>11</c:v>
                </c:pt>
                <c:pt idx="48">
                  <c:v>11</c:v>
                </c:pt>
                <c:pt idx="49">
                  <c:v>11</c:v>
                </c:pt>
                <c:pt idx="50">
                  <c:v>11</c:v>
                </c:pt>
                <c:pt idx="51">
                  <c:v>11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</c:numCache>
            </c:numRef>
          </c:val>
        </c:ser>
        <c:gapWidth val="150"/>
        <c:overlap val="0"/>
        <c:axId val="67654594"/>
        <c:axId val="92436109"/>
      </c:barChart>
      <c:catAx>
        <c:axId val="676545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436109"/>
        <c:crosses val="autoZero"/>
        <c:auto val="1"/>
        <c:lblAlgn val="ctr"/>
        <c:lblOffset val="100"/>
        <c:noMultiLvlLbl val="0"/>
      </c:catAx>
      <c:valAx>
        <c:axId val="924361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N° personas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6545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17</xdr:col>
      <xdr:colOff>78840</xdr:colOff>
      <xdr:row>19</xdr:row>
      <xdr:rowOff>1080</xdr:rowOff>
    </xdr:to>
    <xdr:graphicFrame>
      <xdr:nvGraphicFramePr>
        <xdr:cNvPr id="0" name="Chart 1"/>
        <xdr:cNvGraphicFramePr/>
      </xdr:nvGraphicFramePr>
      <xdr:xfrm>
        <a:off x="2303280" y="38088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K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"/>
    <col collapsed="false" customWidth="true" hidden="false" outlineLevel="0" max="4" min="4" style="0" width="38"/>
    <col collapsed="false" customWidth="true" hidden="false" outlineLevel="0" max="5" min="5" style="0" width="7"/>
    <col collapsed="false" customWidth="true" hidden="false" outlineLevel="0" max="6" min="6" style="0" width="8"/>
    <col collapsed="false" customWidth="true" hidden="false" outlineLevel="0" max="8" min="7" style="0" width="9"/>
    <col collapsed="false" customWidth="true" hidden="false" outlineLevel="0" max="10" min="9" style="0" width="6"/>
    <col collapsed="false" customWidth="true" hidden="false" outlineLevel="0" max="70" min="11" style="0" width="2.6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0.2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4" t="n">
        <v>1</v>
      </c>
      <c r="L3" s="4" t="n">
        <v>2</v>
      </c>
      <c r="M3" s="4" t="n">
        <v>3</v>
      </c>
      <c r="N3" s="4" t="n">
        <v>4</v>
      </c>
      <c r="O3" s="4" t="n">
        <v>5</v>
      </c>
      <c r="P3" s="4" t="n">
        <v>6</v>
      </c>
      <c r="Q3" s="4" t="n">
        <v>7</v>
      </c>
      <c r="R3" s="4" t="n">
        <v>8</v>
      </c>
      <c r="S3" s="4" t="n">
        <v>9</v>
      </c>
      <c r="T3" s="4" t="n">
        <v>10</v>
      </c>
      <c r="U3" s="4" t="n">
        <v>11</v>
      </c>
      <c r="V3" s="4" t="n">
        <v>12</v>
      </c>
      <c r="W3" s="4" t="n">
        <v>13</v>
      </c>
      <c r="X3" s="4" t="n">
        <v>14</v>
      </c>
      <c r="Y3" s="4" t="n">
        <v>15</v>
      </c>
      <c r="Z3" s="4" t="n">
        <v>16</v>
      </c>
      <c r="AA3" s="4" t="n">
        <v>17</v>
      </c>
      <c r="AB3" s="4" t="n">
        <v>18</v>
      </c>
      <c r="AC3" s="4" t="n">
        <v>19</v>
      </c>
      <c r="AD3" s="4" t="n">
        <v>20</v>
      </c>
      <c r="AE3" s="4" t="n">
        <v>21</v>
      </c>
      <c r="AF3" s="4" t="n">
        <v>22</v>
      </c>
      <c r="AG3" s="4" t="n">
        <v>23</v>
      </c>
      <c r="AH3" s="4" t="n">
        <v>24</v>
      </c>
      <c r="AI3" s="4" t="n">
        <v>25</v>
      </c>
      <c r="AJ3" s="4" t="n">
        <v>26</v>
      </c>
      <c r="AK3" s="4" t="n">
        <v>27</v>
      </c>
      <c r="AL3" s="4" t="n">
        <v>28</v>
      </c>
      <c r="AM3" s="4" t="n">
        <v>29</v>
      </c>
      <c r="AN3" s="4" t="n">
        <v>30</v>
      </c>
      <c r="AO3" s="4" t="n">
        <v>31</v>
      </c>
      <c r="AP3" s="4" t="n">
        <v>32</v>
      </c>
      <c r="AQ3" s="4" t="n">
        <v>33</v>
      </c>
      <c r="AR3" s="4" t="n">
        <v>34</v>
      </c>
      <c r="AS3" s="4" t="n">
        <v>35</v>
      </c>
      <c r="AT3" s="4" t="n">
        <v>36</v>
      </c>
      <c r="AU3" s="4" t="n">
        <v>37</v>
      </c>
      <c r="AV3" s="4" t="n">
        <v>38</v>
      </c>
      <c r="AW3" s="4" t="n">
        <v>39</v>
      </c>
      <c r="AX3" s="4" t="n">
        <v>40</v>
      </c>
      <c r="AY3" s="4" t="n">
        <v>41</v>
      </c>
      <c r="AZ3" s="4" t="n">
        <v>42</v>
      </c>
      <c r="BA3" s="4" t="n">
        <v>43</v>
      </c>
      <c r="BB3" s="4" t="n">
        <v>44</v>
      </c>
      <c r="BC3" s="4" t="n">
        <v>45</v>
      </c>
      <c r="BD3" s="4" t="n">
        <v>46</v>
      </c>
      <c r="BE3" s="4" t="n">
        <v>47</v>
      </c>
      <c r="BF3" s="4" t="n">
        <v>48</v>
      </c>
      <c r="BG3" s="4" t="n">
        <v>49</v>
      </c>
      <c r="BH3" s="4" t="n">
        <v>50</v>
      </c>
      <c r="BI3" s="4" t="n">
        <v>51</v>
      </c>
      <c r="BJ3" s="4" t="n">
        <v>52</v>
      </c>
      <c r="BK3" s="4" t="n">
        <v>53</v>
      </c>
      <c r="BL3" s="4" t="n">
        <v>54</v>
      </c>
      <c r="BM3" s="4" t="n">
        <v>55</v>
      </c>
      <c r="BN3" s="4" t="n">
        <v>56</v>
      </c>
      <c r="BO3" s="4" t="n">
        <v>57</v>
      </c>
      <c r="BP3" s="4" t="n">
        <v>58</v>
      </c>
      <c r="BQ3" s="4" t="n">
        <v>59</v>
      </c>
      <c r="BR3" s="4" t="n">
        <v>60</v>
      </c>
    </row>
    <row r="4" customFormat="false" ht="15" hidden="false" customHeight="false" outlineLevel="0" collapsed="false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n">
        <v>301</v>
      </c>
      <c r="G4" s="5" t="n">
        <v>35</v>
      </c>
      <c r="H4" s="6" t="n">
        <f aca="false">F4/G4</f>
        <v>8.6</v>
      </c>
      <c r="I4" s="5" t="n">
        <v>1</v>
      </c>
      <c r="J4" s="5" t="n">
        <v>10</v>
      </c>
      <c r="K4" s="7"/>
      <c r="L4" s="7"/>
      <c r="M4" s="7"/>
      <c r="N4" s="7"/>
      <c r="O4" s="7"/>
      <c r="P4" s="7"/>
      <c r="Q4" s="7"/>
      <c r="R4" s="7"/>
      <c r="S4" s="7"/>
      <c r="T4" s="7"/>
    </row>
    <row r="5" customFormat="false" ht="15" hidden="false" customHeight="false" outlineLevel="0" collapsed="false">
      <c r="A5" s="5" t="s">
        <v>12</v>
      </c>
      <c r="B5" s="5" t="s">
        <v>13</v>
      </c>
      <c r="C5" s="5" t="s">
        <v>17</v>
      </c>
      <c r="D5" s="5" t="s">
        <v>18</v>
      </c>
      <c r="E5" s="5" t="s">
        <v>16</v>
      </c>
      <c r="F5" s="5" t="n">
        <v>49</v>
      </c>
      <c r="G5" s="5" t="n">
        <v>35</v>
      </c>
      <c r="H5" s="6" t="n">
        <f aca="false">F5/G5</f>
        <v>1.4</v>
      </c>
      <c r="I5" s="5" t="n">
        <v>1</v>
      </c>
      <c r="J5" s="5" t="n">
        <v>10</v>
      </c>
      <c r="K5" s="7"/>
      <c r="L5" s="7"/>
      <c r="M5" s="7"/>
      <c r="N5" s="7"/>
      <c r="O5" s="7"/>
      <c r="P5" s="7"/>
      <c r="Q5" s="7"/>
      <c r="R5" s="7"/>
      <c r="S5" s="7"/>
      <c r="T5" s="7"/>
    </row>
    <row r="6" customFormat="false" ht="15" hidden="false" customHeight="false" outlineLevel="0" collapsed="false">
      <c r="A6" s="5" t="s">
        <v>12</v>
      </c>
      <c r="B6" s="5" t="s">
        <v>13</v>
      </c>
      <c r="C6" s="5" t="s">
        <v>19</v>
      </c>
      <c r="D6" s="5" t="s">
        <v>20</v>
      </c>
      <c r="E6" s="5" t="s">
        <v>16</v>
      </c>
      <c r="F6" s="5" t="n">
        <v>137</v>
      </c>
      <c r="G6" s="5" t="n">
        <v>40</v>
      </c>
      <c r="H6" s="6" t="n">
        <f aca="false">F6/G6</f>
        <v>3.425</v>
      </c>
      <c r="I6" s="5" t="n">
        <v>1</v>
      </c>
      <c r="J6" s="5" t="n">
        <v>10</v>
      </c>
      <c r="K6" s="7"/>
      <c r="L6" s="7"/>
      <c r="M6" s="7"/>
      <c r="N6" s="7"/>
      <c r="O6" s="7"/>
      <c r="P6" s="7"/>
      <c r="Q6" s="7"/>
      <c r="R6" s="7"/>
      <c r="S6" s="7"/>
      <c r="T6" s="7"/>
    </row>
    <row r="7" customFormat="false" ht="15" hidden="false" customHeight="false" outlineLevel="0" collapsed="false">
      <c r="A7" s="5" t="s">
        <v>12</v>
      </c>
      <c r="B7" s="5" t="s">
        <v>13</v>
      </c>
      <c r="C7" s="5" t="s">
        <v>21</v>
      </c>
      <c r="D7" s="5" t="s">
        <v>22</v>
      </c>
      <c r="E7" s="5" t="s">
        <v>16</v>
      </c>
      <c r="F7" s="5" t="n">
        <v>49</v>
      </c>
      <c r="G7" s="5" t="n">
        <v>40</v>
      </c>
      <c r="H7" s="6" t="n">
        <f aca="false">F7/G7</f>
        <v>1.225</v>
      </c>
      <c r="I7" s="5" t="n">
        <v>1</v>
      </c>
      <c r="J7" s="5" t="n">
        <v>10</v>
      </c>
      <c r="K7" s="7"/>
      <c r="L7" s="7"/>
      <c r="M7" s="7"/>
      <c r="N7" s="7"/>
      <c r="O7" s="7"/>
      <c r="P7" s="7"/>
      <c r="Q7" s="7"/>
      <c r="R7" s="7"/>
      <c r="S7" s="7"/>
      <c r="T7" s="7"/>
    </row>
    <row r="8" customFormat="false" ht="15" hidden="false" customHeight="false" outlineLevel="0" collapsed="false">
      <c r="A8" s="5" t="s">
        <v>23</v>
      </c>
      <c r="B8" s="5" t="s">
        <v>13</v>
      </c>
      <c r="C8" s="5" t="s">
        <v>24</v>
      </c>
      <c r="D8" s="5" t="s">
        <v>25</v>
      </c>
      <c r="E8" s="5" t="s">
        <v>16</v>
      </c>
      <c r="F8" s="5" t="n">
        <v>36</v>
      </c>
      <c r="G8" s="5" t="n">
        <v>6</v>
      </c>
      <c r="H8" s="6" t="n">
        <f aca="false">F8/G8</f>
        <v>6</v>
      </c>
      <c r="I8" s="5" t="n">
        <v>1</v>
      </c>
      <c r="J8" s="5" t="n">
        <v>13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</row>
    <row r="9" customFormat="false" ht="15" hidden="false" customHeight="false" outlineLevel="0" collapsed="false">
      <c r="A9" s="5" t="s">
        <v>23</v>
      </c>
      <c r="B9" s="5" t="s">
        <v>13</v>
      </c>
      <c r="C9" s="5" t="s">
        <v>26</v>
      </c>
      <c r="D9" s="5" t="s">
        <v>27</v>
      </c>
      <c r="E9" s="5" t="s">
        <v>16</v>
      </c>
      <c r="F9" s="5" t="n">
        <v>36</v>
      </c>
      <c r="G9" s="5" t="n">
        <v>15</v>
      </c>
      <c r="H9" s="6" t="n">
        <f aca="false">F9/G9</f>
        <v>2.4</v>
      </c>
      <c r="I9" s="5" t="n">
        <v>1</v>
      </c>
      <c r="J9" s="5" t="n">
        <v>13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</row>
    <row r="10" customFormat="false" ht="15" hidden="false" customHeight="false" outlineLevel="0" collapsed="false">
      <c r="A10" s="5" t="s">
        <v>23</v>
      </c>
      <c r="B10" s="5" t="s">
        <v>13</v>
      </c>
      <c r="C10" s="5" t="s">
        <v>28</v>
      </c>
      <c r="D10" s="5" t="s">
        <v>29</v>
      </c>
      <c r="E10" s="5" t="s">
        <v>30</v>
      </c>
      <c r="F10" s="5" t="n">
        <v>18</v>
      </c>
      <c r="G10" s="5" t="n">
        <v>3</v>
      </c>
      <c r="H10" s="6" t="n">
        <f aca="false">F10/G10</f>
        <v>6</v>
      </c>
      <c r="I10" s="5" t="n">
        <v>1</v>
      </c>
      <c r="J10" s="5" t="n">
        <v>13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customFormat="false" ht="15" hidden="false" customHeight="false" outlineLevel="0" collapsed="false">
      <c r="A11" s="5" t="s">
        <v>23</v>
      </c>
      <c r="B11" s="5" t="s">
        <v>13</v>
      </c>
      <c r="C11" s="5" t="s">
        <v>31</v>
      </c>
      <c r="D11" s="5" t="s">
        <v>32</v>
      </c>
      <c r="E11" s="5" t="s">
        <v>16</v>
      </c>
      <c r="F11" s="5" t="n">
        <v>7</v>
      </c>
      <c r="G11" s="5" t="n">
        <v>12</v>
      </c>
      <c r="H11" s="6" t="n">
        <f aca="false">F11/G11</f>
        <v>0.583333333333333</v>
      </c>
      <c r="I11" s="5" t="n">
        <v>1</v>
      </c>
      <c r="J11" s="5" t="n">
        <v>13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</row>
    <row r="12" customFormat="false" ht="15" hidden="false" customHeight="false" outlineLevel="0" collapsed="false">
      <c r="A12" s="5" t="s">
        <v>23</v>
      </c>
      <c r="B12" s="5" t="s">
        <v>13</v>
      </c>
      <c r="C12" s="5" t="s">
        <v>33</v>
      </c>
      <c r="D12" s="5" t="s">
        <v>34</v>
      </c>
      <c r="E12" s="5" t="s">
        <v>16</v>
      </c>
      <c r="F12" s="5" t="n">
        <v>18</v>
      </c>
      <c r="G12" s="5" t="n">
        <v>200</v>
      </c>
      <c r="H12" s="6" t="n">
        <f aca="false">F12/G12</f>
        <v>0.09</v>
      </c>
      <c r="I12" s="5" t="n">
        <v>1</v>
      </c>
      <c r="J12" s="5" t="n">
        <v>13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</row>
    <row r="13" customFormat="false" ht="15" hidden="false" customHeight="false" outlineLevel="0" collapsed="false">
      <c r="A13" s="5" t="s">
        <v>23</v>
      </c>
      <c r="B13" s="5" t="s">
        <v>13</v>
      </c>
      <c r="C13" s="5" t="s">
        <v>35</v>
      </c>
      <c r="D13" s="5" t="s">
        <v>36</v>
      </c>
      <c r="E13" s="5" t="s">
        <v>16</v>
      </c>
      <c r="F13" s="5" t="n">
        <v>18</v>
      </c>
      <c r="G13" s="5" t="n">
        <v>25</v>
      </c>
      <c r="H13" s="6" t="n">
        <f aca="false">F13/G13</f>
        <v>0.72</v>
      </c>
      <c r="I13" s="5" t="n">
        <v>1</v>
      </c>
      <c r="J13" s="5" t="n">
        <v>13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</row>
    <row r="14" customFormat="false" ht="15" hidden="false" customHeight="false" outlineLevel="0" collapsed="false">
      <c r="A14" s="5" t="s">
        <v>23</v>
      </c>
      <c r="B14" s="5" t="s">
        <v>13</v>
      </c>
      <c r="C14" s="5" t="s">
        <v>37</v>
      </c>
      <c r="D14" s="5" t="s">
        <v>38</v>
      </c>
      <c r="E14" s="5" t="s">
        <v>16</v>
      </c>
      <c r="F14" s="5" t="n">
        <v>18</v>
      </c>
      <c r="G14" s="5" t="n">
        <v>12</v>
      </c>
      <c r="H14" s="6" t="n">
        <f aca="false">F14/G14</f>
        <v>1.5</v>
      </c>
      <c r="I14" s="5" t="n">
        <v>1</v>
      </c>
      <c r="J14" s="5" t="n">
        <v>13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</row>
    <row r="15" customFormat="false" ht="15" hidden="false" customHeight="false" outlineLevel="0" collapsed="false">
      <c r="A15" s="5" t="s">
        <v>23</v>
      </c>
      <c r="B15" s="5" t="s">
        <v>13</v>
      </c>
      <c r="C15" s="5" t="s">
        <v>39</v>
      </c>
      <c r="D15" s="5" t="s">
        <v>40</v>
      </c>
      <c r="E15" s="5" t="s">
        <v>16</v>
      </c>
      <c r="F15" s="5" t="n">
        <v>12</v>
      </c>
      <c r="G15" s="5" t="n">
        <v>20</v>
      </c>
      <c r="H15" s="6" t="n">
        <f aca="false">F15/G15</f>
        <v>0.6</v>
      </c>
      <c r="I15" s="5" t="n">
        <v>1</v>
      </c>
      <c r="J15" s="5" t="n">
        <v>13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</row>
    <row r="16" customFormat="false" ht="15" hidden="false" customHeight="false" outlineLevel="0" collapsed="false">
      <c r="A16" s="5" t="s">
        <v>41</v>
      </c>
      <c r="B16" s="5" t="s">
        <v>13</v>
      </c>
      <c r="C16" s="5" t="s">
        <v>42</v>
      </c>
      <c r="D16" s="5" t="s">
        <v>43</v>
      </c>
      <c r="E16" s="5" t="s">
        <v>44</v>
      </c>
      <c r="F16" s="5" t="n">
        <v>324</v>
      </c>
      <c r="G16" s="5" t="n">
        <v>180</v>
      </c>
      <c r="H16" s="6" t="n">
        <f aca="false">F16/G16</f>
        <v>1.8</v>
      </c>
      <c r="I16" s="5" t="n">
        <v>6</v>
      </c>
      <c r="J16" s="5" t="n">
        <v>11</v>
      </c>
      <c r="P16" s="9"/>
      <c r="Q16" s="9"/>
      <c r="R16" s="9"/>
      <c r="S16" s="9"/>
      <c r="T16" s="9"/>
      <c r="U16" s="9"/>
    </row>
    <row r="17" customFormat="false" ht="15" hidden="false" customHeight="false" outlineLevel="0" collapsed="false">
      <c r="A17" s="5" t="s">
        <v>45</v>
      </c>
      <c r="B17" s="5" t="s">
        <v>13</v>
      </c>
      <c r="C17" s="5" t="s">
        <v>46</v>
      </c>
      <c r="D17" s="5" t="s">
        <v>47</v>
      </c>
      <c r="E17" s="5" t="s">
        <v>48</v>
      </c>
      <c r="F17" s="5" t="n">
        <v>166</v>
      </c>
      <c r="G17" s="5" t="n">
        <v>10</v>
      </c>
      <c r="H17" s="6" t="n">
        <f aca="false">F17/G17</f>
        <v>16.6</v>
      </c>
      <c r="I17" s="5" t="n">
        <v>4</v>
      </c>
      <c r="J17" s="5" t="n">
        <v>20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</row>
    <row r="18" customFormat="false" ht="15" hidden="false" customHeight="false" outlineLevel="0" collapsed="false">
      <c r="A18" s="5" t="s">
        <v>45</v>
      </c>
      <c r="B18" s="5" t="s">
        <v>13</v>
      </c>
      <c r="C18" s="5" t="s">
        <v>49</v>
      </c>
      <c r="D18" s="5" t="s">
        <v>50</v>
      </c>
      <c r="E18" s="5" t="s">
        <v>48</v>
      </c>
      <c r="F18" s="5" t="n">
        <v>300</v>
      </c>
      <c r="G18" s="5" t="n">
        <v>30</v>
      </c>
      <c r="H18" s="6" t="n">
        <f aca="false">F18/G18</f>
        <v>10</v>
      </c>
      <c r="I18" s="5" t="n">
        <v>4</v>
      </c>
      <c r="J18" s="5" t="n">
        <v>20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</row>
    <row r="19" customFormat="false" ht="15" hidden="false" customHeight="false" outlineLevel="0" collapsed="false">
      <c r="A19" s="5" t="s">
        <v>51</v>
      </c>
      <c r="B19" s="5" t="s">
        <v>52</v>
      </c>
      <c r="C19" s="5" t="s">
        <v>14</v>
      </c>
      <c r="D19" s="5" t="s">
        <v>53</v>
      </c>
      <c r="E19" s="5" t="s">
        <v>16</v>
      </c>
      <c r="F19" s="5" t="n">
        <v>114</v>
      </c>
      <c r="G19" s="5" t="n">
        <v>10</v>
      </c>
      <c r="H19" s="6" t="n">
        <f aca="false">F19/G19</f>
        <v>11.4</v>
      </c>
      <c r="I19" s="5" t="n">
        <v>12</v>
      </c>
      <c r="J19" s="5" t="n">
        <v>26</v>
      </c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customFormat="false" ht="15" hidden="false" customHeight="false" outlineLevel="0" collapsed="false">
      <c r="A20" s="5" t="s">
        <v>51</v>
      </c>
      <c r="B20" s="5" t="s">
        <v>52</v>
      </c>
      <c r="C20" s="5" t="s">
        <v>17</v>
      </c>
      <c r="D20" s="5" t="s">
        <v>54</v>
      </c>
      <c r="E20" s="5" t="s">
        <v>16</v>
      </c>
      <c r="F20" s="5" t="n">
        <v>64</v>
      </c>
      <c r="G20" s="5" t="n">
        <v>9</v>
      </c>
      <c r="H20" s="6" t="n">
        <f aca="false">F20/G20</f>
        <v>7.11111111111111</v>
      </c>
      <c r="I20" s="5" t="n">
        <v>12</v>
      </c>
      <c r="J20" s="5" t="n">
        <v>26</v>
      </c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customFormat="false" ht="15" hidden="false" customHeight="false" outlineLevel="0" collapsed="false">
      <c r="A21" s="5" t="s">
        <v>51</v>
      </c>
      <c r="B21" s="5" t="s">
        <v>52</v>
      </c>
      <c r="C21" s="5" t="s">
        <v>24</v>
      </c>
      <c r="D21" s="5" t="s">
        <v>55</v>
      </c>
      <c r="E21" s="5" t="s">
        <v>16</v>
      </c>
      <c r="F21" s="5" t="n">
        <v>60</v>
      </c>
      <c r="G21" s="5" t="n">
        <v>8</v>
      </c>
      <c r="H21" s="6" t="n">
        <f aca="false">F21/G21</f>
        <v>7.5</v>
      </c>
      <c r="I21" s="5" t="n">
        <v>12</v>
      </c>
      <c r="J21" s="5" t="n">
        <v>26</v>
      </c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customFormat="false" ht="15" hidden="false" customHeight="false" outlineLevel="0" collapsed="false">
      <c r="A22" s="5" t="s">
        <v>51</v>
      </c>
      <c r="B22" s="5" t="s">
        <v>52</v>
      </c>
      <c r="C22" s="5" t="s">
        <v>26</v>
      </c>
      <c r="D22" s="5" t="s">
        <v>56</v>
      </c>
      <c r="E22" s="5" t="s">
        <v>16</v>
      </c>
      <c r="F22" s="5" t="n">
        <v>12</v>
      </c>
      <c r="G22" s="5" t="n">
        <v>8</v>
      </c>
      <c r="H22" s="6" t="n">
        <f aca="false">F22/G22</f>
        <v>1.5</v>
      </c>
      <c r="I22" s="5" t="n">
        <v>12</v>
      </c>
      <c r="J22" s="5" t="n">
        <v>26</v>
      </c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customFormat="false" ht="15" hidden="false" customHeight="false" outlineLevel="0" collapsed="false">
      <c r="A23" s="5" t="s">
        <v>51</v>
      </c>
      <c r="B23" s="5" t="s">
        <v>52</v>
      </c>
      <c r="C23" s="5" t="s">
        <v>19</v>
      </c>
      <c r="D23" s="5" t="s">
        <v>57</v>
      </c>
      <c r="E23" s="5" t="s">
        <v>16</v>
      </c>
      <c r="F23" s="5" t="n">
        <v>22</v>
      </c>
      <c r="G23" s="5" t="n">
        <v>10</v>
      </c>
      <c r="H23" s="6" t="n">
        <f aca="false">F23/G23</f>
        <v>2.2</v>
      </c>
      <c r="I23" s="5" t="n">
        <v>12</v>
      </c>
      <c r="J23" s="5" t="n">
        <v>26</v>
      </c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customFormat="false" ht="15" hidden="false" customHeight="false" outlineLevel="0" collapsed="false">
      <c r="A24" s="5" t="s">
        <v>51</v>
      </c>
      <c r="B24" s="5" t="s">
        <v>52</v>
      </c>
      <c r="C24" s="5" t="s">
        <v>28</v>
      </c>
      <c r="D24" s="5" t="s">
        <v>58</v>
      </c>
      <c r="E24" s="5" t="s">
        <v>16</v>
      </c>
      <c r="F24" s="5" t="n">
        <v>12</v>
      </c>
      <c r="G24" s="5" t="n">
        <v>9</v>
      </c>
      <c r="H24" s="6" t="n">
        <f aca="false">F24/G24</f>
        <v>1.33333333333333</v>
      </c>
      <c r="I24" s="5" t="n">
        <v>12</v>
      </c>
      <c r="J24" s="5" t="n">
        <v>26</v>
      </c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customFormat="false" ht="15" hidden="false" customHeight="false" outlineLevel="0" collapsed="false">
      <c r="A25" s="5" t="s">
        <v>51</v>
      </c>
      <c r="B25" s="5" t="s">
        <v>52</v>
      </c>
      <c r="C25" s="5" t="s">
        <v>31</v>
      </c>
      <c r="D25" s="5" t="s">
        <v>59</v>
      </c>
      <c r="E25" s="5" t="s">
        <v>16</v>
      </c>
      <c r="F25" s="5" t="n">
        <v>16</v>
      </c>
      <c r="G25" s="5" t="n">
        <v>8</v>
      </c>
      <c r="H25" s="6" t="n">
        <f aca="false">F25/G25</f>
        <v>2</v>
      </c>
      <c r="I25" s="5" t="n">
        <v>12</v>
      </c>
      <c r="J25" s="5" t="n">
        <v>26</v>
      </c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customFormat="false" ht="15" hidden="false" customHeight="false" outlineLevel="0" collapsed="false">
      <c r="A26" s="5" t="s">
        <v>60</v>
      </c>
      <c r="B26" s="5" t="s">
        <v>52</v>
      </c>
      <c r="C26" s="5" t="s">
        <v>21</v>
      </c>
      <c r="D26" s="5" t="s">
        <v>61</v>
      </c>
      <c r="E26" s="5" t="s">
        <v>44</v>
      </c>
      <c r="F26" s="5" t="n">
        <v>250</v>
      </c>
      <c r="G26" s="5" t="n">
        <v>120</v>
      </c>
      <c r="H26" s="6" t="n">
        <f aca="false">F26/G26</f>
        <v>2.08333333333333</v>
      </c>
      <c r="I26" s="5" t="n">
        <v>12</v>
      </c>
      <c r="J26" s="5" t="n">
        <v>22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</row>
    <row r="27" customFormat="false" ht="15" hidden="false" customHeight="false" outlineLevel="0" collapsed="false">
      <c r="A27" s="5" t="s">
        <v>60</v>
      </c>
      <c r="B27" s="5" t="s">
        <v>52</v>
      </c>
      <c r="C27" s="5" t="s">
        <v>62</v>
      </c>
      <c r="D27" s="5" t="s">
        <v>63</v>
      </c>
      <c r="E27" s="5" t="s">
        <v>44</v>
      </c>
      <c r="F27" s="5" t="n">
        <v>130</v>
      </c>
      <c r="G27" s="5" t="n">
        <v>120</v>
      </c>
      <c r="H27" s="6" t="n">
        <f aca="false">F27/G27</f>
        <v>1.08333333333333</v>
      </c>
      <c r="I27" s="5" t="n">
        <v>12</v>
      </c>
      <c r="J27" s="5" t="n">
        <v>22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</row>
    <row r="28" customFormat="false" ht="15" hidden="false" customHeight="false" outlineLevel="0" collapsed="false">
      <c r="A28" s="5" t="s">
        <v>64</v>
      </c>
      <c r="B28" s="5" t="s">
        <v>65</v>
      </c>
      <c r="C28" s="5" t="s">
        <v>14</v>
      </c>
      <c r="D28" s="5" t="s">
        <v>66</v>
      </c>
      <c r="E28" s="5" t="s">
        <v>16</v>
      </c>
      <c r="F28" s="5" t="n">
        <v>141</v>
      </c>
      <c r="G28" s="5" t="n">
        <v>20</v>
      </c>
      <c r="H28" s="6" t="n">
        <f aca="false">F28/G28</f>
        <v>7.05</v>
      </c>
      <c r="I28" s="5" t="n">
        <v>20</v>
      </c>
      <c r="J28" s="5" t="n">
        <v>34</v>
      </c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customFormat="false" ht="15" hidden="false" customHeight="false" outlineLevel="0" collapsed="false">
      <c r="A29" s="5" t="s">
        <v>64</v>
      </c>
      <c r="B29" s="5" t="s">
        <v>65</v>
      </c>
      <c r="C29" s="5" t="s">
        <v>17</v>
      </c>
      <c r="D29" s="5" t="s">
        <v>67</v>
      </c>
      <c r="E29" s="5" t="s">
        <v>16</v>
      </c>
      <c r="F29" s="5" t="n">
        <v>48</v>
      </c>
      <c r="G29" s="5" t="n">
        <v>20</v>
      </c>
      <c r="H29" s="6" t="n">
        <f aca="false">F29/G29</f>
        <v>2.4</v>
      </c>
      <c r="I29" s="5" t="n">
        <v>20</v>
      </c>
      <c r="J29" s="5" t="n">
        <v>34</v>
      </c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 customFormat="false" ht="15" hidden="false" customHeight="false" outlineLevel="0" collapsed="false">
      <c r="A30" s="5" t="s">
        <v>64</v>
      </c>
      <c r="B30" s="5" t="s">
        <v>65</v>
      </c>
      <c r="C30" s="5" t="s">
        <v>24</v>
      </c>
      <c r="D30" s="5" t="s">
        <v>68</v>
      </c>
      <c r="E30" s="5" t="s">
        <v>16</v>
      </c>
      <c r="F30" s="5" t="n">
        <v>307</v>
      </c>
      <c r="G30" s="5" t="n">
        <v>22</v>
      </c>
      <c r="H30" s="6" t="n">
        <f aca="false">F30/G30</f>
        <v>13.9545454545455</v>
      </c>
      <c r="I30" s="5" t="n">
        <v>20</v>
      </c>
      <c r="J30" s="5" t="n">
        <v>34</v>
      </c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</row>
    <row r="31" customFormat="false" ht="15" hidden="false" customHeight="false" outlineLevel="0" collapsed="false">
      <c r="A31" s="5" t="s">
        <v>64</v>
      </c>
      <c r="B31" s="5" t="s">
        <v>65</v>
      </c>
      <c r="C31" s="5" t="s">
        <v>26</v>
      </c>
      <c r="D31" s="5" t="s">
        <v>69</v>
      </c>
      <c r="E31" s="5" t="s">
        <v>16</v>
      </c>
      <c r="F31" s="5" t="n">
        <v>18</v>
      </c>
      <c r="G31" s="5" t="n">
        <v>18</v>
      </c>
      <c r="H31" s="6" t="n">
        <f aca="false">F31/G31</f>
        <v>1</v>
      </c>
      <c r="I31" s="5" t="n">
        <v>20</v>
      </c>
      <c r="J31" s="5" t="n">
        <v>34</v>
      </c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 customFormat="false" ht="15" hidden="false" customHeight="false" outlineLevel="0" collapsed="false">
      <c r="A32" s="5" t="s">
        <v>70</v>
      </c>
      <c r="B32" s="5" t="s">
        <v>71</v>
      </c>
      <c r="C32" s="5" t="s">
        <v>14</v>
      </c>
      <c r="D32" s="5" t="s">
        <v>72</v>
      </c>
      <c r="E32" s="5" t="s">
        <v>16</v>
      </c>
      <c r="F32" s="5" t="n">
        <v>49</v>
      </c>
      <c r="G32" s="5" t="n">
        <v>18</v>
      </c>
      <c r="H32" s="6" t="n">
        <f aca="false">F32/G32</f>
        <v>2.72222222222222</v>
      </c>
      <c r="I32" s="5" t="n">
        <v>26</v>
      </c>
      <c r="J32" s="5" t="n">
        <v>40</v>
      </c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</row>
    <row r="33" customFormat="false" ht="15" hidden="false" customHeight="false" outlineLevel="0" collapsed="false">
      <c r="A33" s="5" t="s">
        <v>70</v>
      </c>
      <c r="B33" s="5" t="s">
        <v>71</v>
      </c>
      <c r="C33" s="5" t="s">
        <v>17</v>
      </c>
      <c r="D33" s="5" t="s">
        <v>73</v>
      </c>
      <c r="E33" s="5" t="s">
        <v>16</v>
      </c>
      <c r="F33" s="5" t="n">
        <v>14</v>
      </c>
      <c r="G33" s="5" t="n">
        <v>18</v>
      </c>
      <c r="H33" s="6" t="n">
        <f aca="false">F33/G33</f>
        <v>0.777777777777778</v>
      </c>
      <c r="I33" s="5" t="n">
        <v>26</v>
      </c>
      <c r="J33" s="5" t="n">
        <v>40</v>
      </c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</row>
    <row r="34" customFormat="false" ht="15" hidden="false" customHeight="false" outlineLevel="0" collapsed="false">
      <c r="A34" s="5" t="s">
        <v>70</v>
      </c>
      <c r="B34" s="5" t="s">
        <v>71</v>
      </c>
      <c r="C34" s="5" t="s">
        <v>24</v>
      </c>
      <c r="D34" s="5" t="s">
        <v>74</v>
      </c>
      <c r="E34" s="5" t="s">
        <v>16</v>
      </c>
      <c r="F34" s="5" t="n">
        <v>128</v>
      </c>
      <c r="G34" s="5" t="n">
        <v>22</v>
      </c>
      <c r="H34" s="6" t="n">
        <f aca="false">F34/G34</f>
        <v>5.81818181818182</v>
      </c>
      <c r="I34" s="5" t="n">
        <v>26</v>
      </c>
      <c r="J34" s="5" t="n">
        <v>40</v>
      </c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</row>
    <row r="35" customFormat="false" ht="15" hidden="false" customHeight="false" outlineLevel="0" collapsed="false">
      <c r="A35" s="5" t="s">
        <v>70</v>
      </c>
      <c r="B35" s="5" t="s">
        <v>71</v>
      </c>
      <c r="C35" s="5" t="s">
        <v>26</v>
      </c>
      <c r="D35" s="5" t="s">
        <v>75</v>
      </c>
      <c r="E35" s="5" t="s">
        <v>16</v>
      </c>
      <c r="F35" s="5" t="n">
        <v>5</v>
      </c>
      <c r="G35" s="5" t="n">
        <v>15</v>
      </c>
      <c r="H35" s="6" t="n">
        <f aca="false">F35/G35</f>
        <v>0.333333333333333</v>
      </c>
      <c r="I35" s="5" t="n">
        <v>26</v>
      </c>
      <c r="J35" s="5" t="n">
        <v>40</v>
      </c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</row>
    <row r="36" customFormat="false" ht="15" hidden="false" customHeight="false" outlineLevel="0" collapsed="false">
      <c r="A36" s="5" t="s">
        <v>70</v>
      </c>
      <c r="B36" s="5" t="s">
        <v>71</v>
      </c>
      <c r="C36" s="5" t="s">
        <v>19</v>
      </c>
      <c r="D36" s="5" t="s">
        <v>76</v>
      </c>
      <c r="E36" s="5" t="s">
        <v>16</v>
      </c>
      <c r="F36" s="5" t="n">
        <v>22</v>
      </c>
      <c r="G36" s="5" t="n">
        <v>18</v>
      </c>
      <c r="H36" s="6" t="n">
        <f aca="false">F36/G36</f>
        <v>1.22222222222222</v>
      </c>
      <c r="I36" s="5" t="n">
        <v>26</v>
      </c>
      <c r="J36" s="5" t="n">
        <v>40</v>
      </c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</row>
    <row r="37" customFormat="false" ht="15" hidden="false" customHeight="false" outlineLevel="0" collapsed="false">
      <c r="A37" s="5" t="s">
        <v>70</v>
      </c>
      <c r="B37" s="5" t="s">
        <v>71</v>
      </c>
      <c r="C37" s="5" t="s">
        <v>21</v>
      </c>
      <c r="D37" s="5" t="s">
        <v>77</v>
      </c>
      <c r="E37" s="5" t="s">
        <v>16</v>
      </c>
      <c r="F37" s="5" t="n">
        <v>59</v>
      </c>
      <c r="G37" s="5" t="n">
        <v>18</v>
      </c>
      <c r="H37" s="6" t="n">
        <f aca="false">F37/G37</f>
        <v>3.27777777777778</v>
      </c>
      <c r="I37" s="5" t="n">
        <v>26</v>
      </c>
      <c r="J37" s="5" t="n">
        <v>40</v>
      </c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</row>
    <row r="38" customFormat="false" ht="15" hidden="false" customHeight="false" outlineLevel="0" collapsed="false">
      <c r="A38" s="5" t="s">
        <v>70</v>
      </c>
      <c r="B38" s="5" t="s">
        <v>71</v>
      </c>
      <c r="C38" s="5" t="s">
        <v>62</v>
      </c>
      <c r="D38" s="5" t="s">
        <v>78</v>
      </c>
      <c r="E38" s="5" t="s">
        <v>16</v>
      </c>
      <c r="F38" s="5" t="n">
        <v>19</v>
      </c>
      <c r="G38" s="5" t="n">
        <v>18</v>
      </c>
      <c r="H38" s="6" t="n">
        <f aca="false">F38/G38</f>
        <v>1.05555555555556</v>
      </c>
      <c r="I38" s="5" t="n">
        <v>26</v>
      </c>
      <c r="J38" s="5" t="n">
        <v>40</v>
      </c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</row>
    <row r="39" customFormat="false" ht="15" hidden="false" customHeight="false" outlineLevel="0" collapsed="false">
      <c r="A39" s="5" t="s">
        <v>79</v>
      </c>
      <c r="B39" s="5" t="s">
        <v>80</v>
      </c>
      <c r="C39" s="5" t="s">
        <v>14</v>
      </c>
      <c r="D39" s="5" t="s">
        <v>81</v>
      </c>
      <c r="E39" s="5" t="s">
        <v>16</v>
      </c>
      <c r="F39" s="5" t="n">
        <v>221</v>
      </c>
      <c r="G39" s="5" t="n">
        <v>15</v>
      </c>
      <c r="H39" s="6" t="n">
        <f aca="false">F39/G39</f>
        <v>14.7333333333333</v>
      </c>
      <c r="I39" s="5" t="n">
        <v>38</v>
      </c>
      <c r="J39" s="5" t="n">
        <v>52</v>
      </c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</row>
    <row r="40" customFormat="false" ht="15" hidden="false" customHeight="false" outlineLevel="0" collapsed="false">
      <c r="A40" s="5" t="s">
        <v>79</v>
      </c>
      <c r="B40" s="5" t="s">
        <v>80</v>
      </c>
      <c r="C40" s="5" t="s">
        <v>17</v>
      </c>
      <c r="D40" s="5" t="s">
        <v>82</v>
      </c>
      <c r="E40" s="5" t="s">
        <v>16</v>
      </c>
      <c r="F40" s="5" t="n">
        <v>46</v>
      </c>
      <c r="G40" s="5" t="n">
        <v>20</v>
      </c>
      <c r="H40" s="6" t="n">
        <f aca="false">F40/G40</f>
        <v>2.3</v>
      </c>
      <c r="I40" s="5" t="n">
        <v>38</v>
      </c>
      <c r="J40" s="5" t="n">
        <v>52</v>
      </c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</row>
    <row r="41" customFormat="false" ht="15" hidden="false" customHeight="false" outlineLevel="0" collapsed="false">
      <c r="A41" s="5" t="s">
        <v>79</v>
      </c>
      <c r="B41" s="5" t="s">
        <v>80</v>
      </c>
      <c r="C41" s="5" t="s">
        <v>26</v>
      </c>
      <c r="D41" s="5" t="s">
        <v>83</v>
      </c>
      <c r="E41" s="5" t="s">
        <v>48</v>
      </c>
      <c r="F41" s="5" t="n">
        <v>166</v>
      </c>
      <c r="G41" s="5" t="n">
        <v>12</v>
      </c>
      <c r="H41" s="6" t="n">
        <f aca="false">F41/G41</f>
        <v>13.8333333333333</v>
      </c>
      <c r="I41" s="5" t="n">
        <v>38</v>
      </c>
      <c r="J41" s="5" t="n">
        <v>52</v>
      </c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</row>
    <row r="42" customFormat="false" ht="15" hidden="false" customHeight="false" outlineLevel="0" collapsed="false">
      <c r="A42" s="5" t="s">
        <v>79</v>
      </c>
      <c r="B42" s="5" t="s">
        <v>80</v>
      </c>
      <c r="C42" s="5" t="s">
        <v>19</v>
      </c>
      <c r="D42" s="5" t="s">
        <v>84</v>
      </c>
      <c r="E42" s="5" t="s">
        <v>16</v>
      </c>
      <c r="F42" s="5" t="n">
        <v>45</v>
      </c>
      <c r="G42" s="5" t="n">
        <v>8</v>
      </c>
      <c r="H42" s="6" t="n">
        <f aca="false">F42/G42</f>
        <v>5.625</v>
      </c>
      <c r="I42" s="5" t="n">
        <v>38</v>
      </c>
      <c r="J42" s="5" t="n">
        <v>52</v>
      </c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</row>
    <row r="43" customFormat="false" ht="15" hidden="false" customHeight="false" outlineLevel="0" collapsed="false">
      <c r="A43" s="5" t="s">
        <v>79</v>
      </c>
      <c r="B43" s="5" t="s">
        <v>80</v>
      </c>
      <c r="C43" s="5" t="s">
        <v>21</v>
      </c>
      <c r="D43" s="5" t="s">
        <v>85</v>
      </c>
      <c r="E43" s="5" t="s">
        <v>16</v>
      </c>
      <c r="F43" s="5" t="n">
        <v>73</v>
      </c>
      <c r="G43" s="5" t="n">
        <v>8</v>
      </c>
      <c r="H43" s="6" t="n">
        <f aca="false">F43/G43</f>
        <v>9.125</v>
      </c>
      <c r="I43" s="5" t="n">
        <v>38</v>
      </c>
      <c r="J43" s="5" t="n">
        <v>52</v>
      </c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</row>
    <row r="44" customFormat="false" ht="15" hidden="false" customHeight="false" outlineLevel="0" collapsed="false">
      <c r="A44" s="5" t="s">
        <v>86</v>
      </c>
      <c r="B44" s="5" t="s">
        <v>87</v>
      </c>
      <c r="C44" s="5" t="s">
        <v>17</v>
      </c>
      <c r="D44" s="5" t="s">
        <v>88</v>
      </c>
      <c r="E44" s="5" t="s">
        <v>16</v>
      </c>
      <c r="F44" s="5" t="n">
        <v>20</v>
      </c>
      <c r="G44" s="5" t="n">
        <v>15</v>
      </c>
      <c r="H44" s="6" t="n">
        <f aca="false">F44/G44</f>
        <v>1.33333333333333</v>
      </c>
      <c r="I44" s="5" t="n">
        <v>18</v>
      </c>
      <c r="J44" s="5" t="n">
        <v>28</v>
      </c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</row>
    <row r="45" customFormat="false" ht="15" hidden="false" customHeight="false" outlineLevel="0" collapsed="false">
      <c r="A45" s="5" t="s">
        <v>86</v>
      </c>
      <c r="B45" s="5" t="s">
        <v>87</v>
      </c>
      <c r="C45" s="5" t="s">
        <v>24</v>
      </c>
      <c r="D45" s="5" t="s">
        <v>89</v>
      </c>
      <c r="E45" s="5" t="s">
        <v>44</v>
      </c>
      <c r="F45" s="5" t="n">
        <v>350</v>
      </c>
      <c r="G45" s="5" t="n">
        <v>250</v>
      </c>
      <c r="H45" s="6" t="n">
        <f aca="false">F45/G45</f>
        <v>1.4</v>
      </c>
      <c r="I45" s="5" t="n">
        <v>18</v>
      </c>
      <c r="J45" s="5" t="n">
        <v>28</v>
      </c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</row>
    <row r="46" customFormat="false" ht="15" hidden="false" customHeight="false" outlineLevel="0" collapsed="false">
      <c r="A46" s="5" t="s">
        <v>86</v>
      </c>
      <c r="B46" s="5" t="s">
        <v>87</v>
      </c>
      <c r="C46" s="5" t="s">
        <v>26</v>
      </c>
      <c r="D46" s="5" t="s">
        <v>90</v>
      </c>
      <c r="E46" s="5" t="s">
        <v>44</v>
      </c>
      <c r="F46" s="5" t="n">
        <v>350</v>
      </c>
      <c r="G46" s="5" t="n">
        <v>250</v>
      </c>
      <c r="H46" s="6" t="n">
        <f aca="false">F46/G46</f>
        <v>1.4</v>
      </c>
      <c r="I46" s="5" t="n">
        <v>18</v>
      </c>
      <c r="J46" s="5" t="n">
        <v>28</v>
      </c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</row>
    <row r="47" customFormat="false" ht="15" hidden="false" customHeight="false" outlineLevel="0" collapsed="false">
      <c r="A47" s="5" t="s">
        <v>91</v>
      </c>
      <c r="B47" s="5" t="s">
        <v>87</v>
      </c>
      <c r="C47" s="5" t="s">
        <v>14</v>
      </c>
      <c r="D47" s="5" t="s">
        <v>92</v>
      </c>
      <c r="E47" s="5" t="s">
        <v>16</v>
      </c>
      <c r="F47" s="5" t="n">
        <v>425</v>
      </c>
      <c r="G47" s="5" t="n">
        <v>40</v>
      </c>
      <c r="H47" s="6" t="n">
        <f aca="false">F47/G47</f>
        <v>10.625</v>
      </c>
      <c r="I47" s="5" t="n">
        <v>34</v>
      </c>
      <c r="J47" s="5" t="n">
        <v>52</v>
      </c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</row>
    <row r="48" customFormat="false" ht="15" hidden="false" customHeight="false" outlineLevel="0" collapsed="false">
      <c r="A48" s="5" t="s">
        <v>93</v>
      </c>
      <c r="B48" s="5" t="s">
        <v>94</v>
      </c>
      <c r="C48" s="5" t="s">
        <v>14</v>
      </c>
      <c r="D48" s="5" t="s">
        <v>95</v>
      </c>
      <c r="E48" s="5" t="s">
        <v>48</v>
      </c>
      <c r="F48" s="5" t="n">
        <v>20</v>
      </c>
      <c r="G48" s="5" t="n">
        <v>15</v>
      </c>
      <c r="H48" s="6" t="n">
        <f aca="false">F48/G48</f>
        <v>1.33333333333333</v>
      </c>
      <c r="I48" s="5" t="n">
        <v>3</v>
      </c>
      <c r="J48" s="5" t="n">
        <v>30</v>
      </c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customFormat="false" ht="15" hidden="false" customHeight="false" outlineLevel="0" collapsed="false">
      <c r="A49" s="5" t="s">
        <v>93</v>
      </c>
      <c r="B49" s="5" t="s">
        <v>94</v>
      </c>
      <c r="C49" s="5" t="s">
        <v>17</v>
      </c>
      <c r="D49" s="5" t="s">
        <v>96</v>
      </c>
      <c r="E49" s="5" t="s">
        <v>16</v>
      </c>
      <c r="F49" s="5" t="n">
        <v>403</v>
      </c>
      <c r="G49" s="5" t="n">
        <v>10</v>
      </c>
      <c r="H49" s="6" t="n">
        <f aca="false">F49/G49</f>
        <v>40.3</v>
      </c>
      <c r="I49" s="5" t="n">
        <v>3</v>
      </c>
      <c r="J49" s="5" t="n">
        <v>30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customFormat="false" ht="15" hidden="false" customHeight="false" outlineLevel="0" collapsed="false">
      <c r="A50" s="5" t="s">
        <v>93</v>
      </c>
      <c r="B50" s="5" t="s">
        <v>94</v>
      </c>
      <c r="C50" s="5" t="s">
        <v>24</v>
      </c>
      <c r="D50" s="5" t="s">
        <v>97</v>
      </c>
      <c r="E50" s="5" t="s">
        <v>16</v>
      </c>
      <c r="F50" s="5" t="n">
        <v>403</v>
      </c>
      <c r="G50" s="5" t="n">
        <v>12</v>
      </c>
      <c r="H50" s="6" t="n">
        <f aca="false">F50/G50</f>
        <v>33.5833333333333</v>
      </c>
      <c r="I50" s="5" t="n">
        <v>3</v>
      </c>
      <c r="J50" s="5" t="n">
        <v>30</v>
      </c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customFormat="false" ht="15" hidden="false" customHeight="false" outlineLevel="0" collapsed="false">
      <c r="A51" s="5" t="s">
        <v>93</v>
      </c>
      <c r="B51" s="5" t="s">
        <v>94</v>
      </c>
      <c r="C51" s="5" t="s">
        <v>26</v>
      </c>
      <c r="D51" s="5" t="s">
        <v>98</v>
      </c>
      <c r="E51" s="5" t="s">
        <v>16</v>
      </c>
      <c r="F51" s="5" t="n">
        <v>7</v>
      </c>
      <c r="G51" s="5" t="n">
        <v>8</v>
      </c>
      <c r="H51" s="6" t="n">
        <f aca="false">F51/G51</f>
        <v>0.875</v>
      </c>
      <c r="I51" s="5" t="n">
        <v>3</v>
      </c>
      <c r="J51" s="5" t="n">
        <v>30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customFormat="false" ht="15" hidden="false" customHeight="false" outlineLevel="0" collapsed="false">
      <c r="A52" s="5" t="s">
        <v>93</v>
      </c>
      <c r="B52" s="5" t="s">
        <v>94</v>
      </c>
      <c r="C52" s="5" t="s">
        <v>19</v>
      </c>
      <c r="D52" s="5" t="s">
        <v>99</v>
      </c>
      <c r="E52" s="5" t="s">
        <v>100</v>
      </c>
      <c r="F52" s="5" t="n">
        <v>1</v>
      </c>
      <c r="G52" s="5" t="n">
        <v>1</v>
      </c>
      <c r="H52" s="6" t="n">
        <f aca="false">F52/G52</f>
        <v>1</v>
      </c>
      <c r="I52" s="5" t="n">
        <v>3</v>
      </c>
      <c r="J52" s="5" t="n">
        <v>30</v>
      </c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customFormat="false" ht="15" hidden="false" customHeight="false" outlineLevel="0" collapsed="false">
      <c r="A53" s="5" t="s">
        <v>101</v>
      </c>
      <c r="B53" s="5" t="s">
        <v>102</v>
      </c>
      <c r="C53" s="5" t="s">
        <v>14</v>
      </c>
      <c r="D53" s="5" t="s">
        <v>103</v>
      </c>
      <c r="E53" s="5" t="s">
        <v>100</v>
      </c>
      <c r="F53" s="5" t="n">
        <v>1</v>
      </c>
      <c r="G53" s="5" t="n">
        <v>1</v>
      </c>
      <c r="H53" s="6" t="n">
        <f aca="false">F53/G53</f>
        <v>1</v>
      </c>
      <c r="I53" s="5" t="n">
        <v>10</v>
      </c>
      <c r="J53" s="5" t="n">
        <v>30</v>
      </c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</row>
    <row r="54" customFormat="false" ht="15" hidden="false" customHeight="false" outlineLevel="0" collapsed="false">
      <c r="A54" s="5" t="s">
        <v>104</v>
      </c>
      <c r="B54" s="5" t="s">
        <v>94</v>
      </c>
      <c r="C54" s="5" t="s">
        <v>21</v>
      </c>
      <c r="D54" s="5" t="s">
        <v>105</v>
      </c>
      <c r="E54" s="5" t="s">
        <v>100</v>
      </c>
      <c r="F54" s="5" t="n">
        <v>1</v>
      </c>
      <c r="G54" s="5" t="n">
        <v>1</v>
      </c>
      <c r="H54" s="6" t="n">
        <f aca="false">F54/G54</f>
        <v>1</v>
      </c>
      <c r="I54" s="5" t="n">
        <v>1</v>
      </c>
      <c r="J54" s="5" t="n">
        <v>60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2"/>
  </cols>
  <sheetData>
    <row r="1" customFormat="false" ht="15" hidden="false" customHeight="false" outlineLevel="0" collapsed="false">
      <c r="A1" s="21" t="s">
        <v>106</v>
      </c>
    </row>
    <row r="3" customFormat="false" ht="32.8" hidden="false" customHeight="false" outlineLevel="0" collapsed="false">
      <c r="A3" s="22" t="s">
        <v>2</v>
      </c>
      <c r="B3" s="22" t="s">
        <v>107</v>
      </c>
      <c r="C3" s="22" t="s">
        <v>10</v>
      </c>
      <c r="D3" s="22" t="s">
        <v>11</v>
      </c>
      <c r="E3" s="22" t="s">
        <v>108</v>
      </c>
      <c r="F3" s="22" t="s">
        <v>109</v>
      </c>
      <c r="G3" s="22" t="s">
        <v>110</v>
      </c>
      <c r="H3" s="22" t="s">
        <v>111</v>
      </c>
      <c r="I3" s="22" t="s">
        <v>112</v>
      </c>
    </row>
    <row r="4" customFormat="false" ht="15" hidden="false" customHeight="false" outlineLevel="0" collapsed="false">
      <c r="A4" s="23" t="s">
        <v>12</v>
      </c>
      <c r="B4" s="24" t="n">
        <f aca="false">'Carta Gantt'!H4+'Carta Gantt'!H5+'Carta Gantt'!H6+'Carta Gantt'!H7</f>
        <v>14.65</v>
      </c>
      <c r="C4" s="0" t="n">
        <v>1</v>
      </c>
      <c r="D4" s="0" t="n">
        <v>10</v>
      </c>
      <c r="E4" s="24" t="n">
        <f aca="false">D4-C4+1</f>
        <v>10</v>
      </c>
      <c r="F4" s="24" t="n">
        <f aca="false">CEILING(B4/E4,1)</f>
        <v>2</v>
      </c>
      <c r="G4" s="0" t="n">
        <v>2</v>
      </c>
      <c r="H4" s="24" t="n">
        <f aca="false">F4*G4</f>
        <v>4</v>
      </c>
      <c r="I4" s="24" t="n">
        <f aca="false">CEILING(B4/F4,1)</f>
        <v>8</v>
      </c>
    </row>
    <row r="5" customFormat="false" ht="15" hidden="false" customHeight="false" outlineLevel="0" collapsed="false">
      <c r="A5" s="23" t="s">
        <v>23</v>
      </c>
      <c r="B5" s="24" t="n">
        <f aca="false">'Carta Gantt'!H8+'Carta Gantt'!H9+'Carta Gantt'!H10+'Carta Gantt'!H11+'Carta Gantt'!H12+'Carta Gantt'!H13+'Carta Gantt'!H14+'Carta Gantt'!H15</f>
        <v>17.8933333333333</v>
      </c>
      <c r="C5" s="0" t="n">
        <v>1</v>
      </c>
      <c r="D5" s="0" t="n">
        <v>13</v>
      </c>
      <c r="E5" s="24" t="n">
        <f aca="false">D5-C5+1</f>
        <v>13</v>
      </c>
      <c r="F5" s="24" t="n">
        <f aca="false">CEILING(B5/E5,1)</f>
        <v>2</v>
      </c>
      <c r="G5" s="0" t="n">
        <v>2</v>
      </c>
      <c r="H5" s="24" t="n">
        <f aca="false">F5*G5</f>
        <v>4</v>
      </c>
      <c r="I5" s="24" t="n">
        <f aca="false">CEILING(B5/F5,1)</f>
        <v>9</v>
      </c>
    </row>
    <row r="6" customFormat="false" ht="15" hidden="false" customHeight="false" outlineLevel="0" collapsed="false">
      <c r="A6" s="23" t="s">
        <v>41</v>
      </c>
      <c r="B6" s="24" t="n">
        <f aca="false">'Carta Gantt'!H16</f>
        <v>1.8</v>
      </c>
      <c r="C6" s="0" t="n">
        <v>6</v>
      </c>
      <c r="D6" s="0" t="n">
        <v>11</v>
      </c>
      <c r="E6" s="24" t="n">
        <f aca="false">D6-C6+1</f>
        <v>6</v>
      </c>
      <c r="F6" s="24" t="n">
        <f aca="false">CEILING(B6/E6,1)</f>
        <v>1</v>
      </c>
      <c r="G6" s="0" t="n">
        <v>2</v>
      </c>
      <c r="H6" s="24" t="n">
        <f aca="false">F6*G6</f>
        <v>2</v>
      </c>
      <c r="I6" s="24" t="n">
        <f aca="false">CEILING(B6/F6,1)</f>
        <v>2</v>
      </c>
    </row>
    <row r="7" customFormat="false" ht="15" hidden="false" customHeight="false" outlineLevel="0" collapsed="false">
      <c r="A7" s="23" t="s">
        <v>45</v>
      </c>
      <c r="B7" s="24" t="n">
        <f aca="false">'Carta Gantt'!H17+'Carta Gantt'!H18</f>
        <v>26.6</v>
      </c>
      <c r="C7" s="0" t="n">
        <v>4</v>
      </c>
      <c r="D7" s="0" t="n">
        <v>20</v>
      </c>
      <c r="E7" s="24" t="n">
        <f aca="false">D7-C7+1</f>
        <v>17</v>
      </c>
      <c r="F7" s="24" t="n">
        <f aca="false">CEILING(B7/E7,1)</f>
        <v>2</v>
      </c>
      <c r="G7" s="0" t="n">
        <v>2</v>
      </c>
      <c r="H7" s="24" t="n">
        <f aca="false">F7*G7</f>
        <v>4</v>
      </c>
      <c r="I7" s="24" t="n">
        <f aca="false">CEILING(B7/F7,1)</f>
        <v>14</v>
      </c>
    </row>
    <row r="8" customFormat="false" ht="15" hidden="false" customHeight="false" outlineLevel="0" collapsed="false">
      <c r="A8" s="23" t="s">
        <v>51</v>
      </c>
      <c r="B8" s="24" t="n">
        <f aca="false">'Carta Gantt'!H19+'Carta Gantt'!H20+'Carta Gantt'!H21+'Carta Gantt'!H22+'Carta Gantt'!H23+'Carta Gantt'!H24+'Carta Gantt'!H25</f>
        <v>33.0444444444444</v>
      </c>
      <c r="C8" s="0" t="n">
        <v>12</v>
      </c>
      <c r="D8" s="0" t="n">
        <v>26</v>
      </c>
      <c r="E8" s="24" t="n">
        <f aca="false">D8-C8+1</f>
        <v>15</v>
      </c>
      <c r="F8" s="24" t="n">
        <f aca="false">CEILING(B8/E8,1)</f>
        <v>3</v>
      </c>
      <c r="G8" s="0" t="n">
        <v>2</v>
      </c>
      <c r="H8" s="24" t="n">
        <f aca="false">F8*G8</f>
        <v>6</v>
      </c>
      <c r="I8" s="24" t="n">
        <f aca="false">CEILING(B8/F8,1)</f>
        <v>12</v>
      </c>
    </row>
    <row r="9" customFormat="false" ht="15" hidden="false" customHeight="false" outlineLevel="0" collapsed="false">
      <c r="A9" s="23" t="s">
        <v>60</v>
      </c>
      <c r="B9" s="24" t="n">
        <f aca="false">'Carta Gantt'!H26+'Carta Gantt'!H27</f>
        <v>3.16666666666667</v>
      </c>
      <c r="C9" s="0" t="n">
        <v>12</v>
      </c>
      <c r="D9" s="0" t="n">
        <v>22</v>
      </c>
      <c r="E9" s="24" t="n">
        <f aca="false">D9-C9+1</f>
        <v>11</v>
      </c>
      <c r="F9" s="24" t="n">
        <f aca="false">CEILING(B9/E9,1)</f>
        <v>1</v>
      </c>
      <c r="G9" s="0" t="n">
        <v>3</v>
      </c>
      <c r="H9" s="24" t="n">
        <f aca="false">F9*G9</f>
        <v>3</v>
      </c>
      <c r="I9" s="24" t="n">
        <f aca="false">CEILING(B9/F9,1)</f>
        <v>4</v>
      </c>
    </row>
    <row r="10" customFormat="false" ht="15" hidden="false" customHeight="false" outlineLevel="0" collapsed="false">
      <c r="A10" s="23" t="s">
        <v>64</v>
      </c>
      <c r="B10" s="24" t="n">
        <f aca="false">'Carta Gantt'!H28+'Carta Gantt'!H29+'Carta Gantt'!H30+'Carta Gantt'!H31</f>
        <v>24.4045454545455</v>
      </c>
      <c r="C10" s="0" t="n">
        <v>20</v>
      </c>
      <c r="D10" s="0" t="n">
        <v>34</v>
      </c>
      <c r="E10" s="24" t="n">
        <f aca="false">D10-C10+1</f>
        <v>15</v>
      </c>
      <c r="F10" s="24" t="n">
        <f aca="false">CEILING(B10/E10,1)</f>
        <v>2</v>
      </c>
      <c r="G10" s="0" t="n">
        <v>2</v>
      </c>
      <c r="H10" s="24" t="n">
        <f aca="false">F10*G10</f>
        <v>4</v>
      </c>
      <c r="I10" s="24" t="n">
        <f aca="false">CEILING(B10/F10,1)</f>
        <v>13</v>
      </c>
    </row>
    <row r="11" customFormat="false" ht="15" hidden="false" customHeight="false" outlineLevel="0" collapsed="false">
      <c r="A11" s="23" t="s">
        <v>70</v>
      </c>
      <c r="B11" s="24" t="n">
        <f aca="false">'Carta Gantt'!H32+'Carta Gantt'!H33+'Carta Gantt'!H34+'Carta Gantt'!H35+'Carta Gantt'!H36+'Carta Gantt'!H37+'Carta Gantt'!H38</f>
        <v>15.2070707070707</v>
      </c>
      <c r="C11" s="0" t="n">
        <v>26</v>
      </c>
      <c r="D11" s="0" t="n">
        <v>40</v>
      </c>
      <c r="E11" s="24" t="n">
        <f aca="false">D11-C11+1</f>
        <v>15</v>
      </c>
      <c r="F11" s="24" t="n">
        <f aca="false">CEILING(B11/E11,1)</f>
        <v>2</v>
      </c>
      <c r="G11" s="0" t="n">
        <v>2</v>
      </c>
      <c r="H11" s="24" t="n">
        <f aca="false">F11*G11</f>
        <v>4</v>
      </c>
      <c r="I11" s="24" t="n">
        <f aca="false">CEILING(B11/F11,1)</f>
        <v>8</v>
      </c>
    </row>
    <row r="12" customFormat="false" ht="15" hidden="false" customHeight="false" outlineLevel="0" collapsed="false">
      <c r="A12" s="23" t="s">
        <v>79</v>
      </c>
      <c r="B12" s="24" t="n">
        <f aca="false">'Carta Gantt'!H39+'Carta Gantt'!H40+'Carta Gantt'!H41+'Carta Gantt'!H42+'Carta Gantt'!H43</f>
        <v>45.6166666666667</v>
      </c>
      <c r="C12" s="0" t="n">
        <v>38</v>
      </c>
      <c r="D12" s="0" t="n">
        <v>52</v>
      </c>
      <c r="E12" s="24" t="n">
        <f aca="false">D12-C12+1</f>
        <v>15</v>
      </c>
      <c r="F12" s="24" t="n">
        <f aca="false">CEILING(B12/E12,1)</f>
        <v>4</v>
      </c>
      <c r="G12" s="0" t="n">
        <v>2</v>
      </c>
      <c r="H12" s="24" t="n">
        <f aca="false">F12*G12</f>
        <v>8</v>
      </c>
      <c r="I12" s="24" t="n">
        <f aca="false">CEILING(B12/F12,1)</f>
        <v>12</v>
      </c>
    </row>
    <row r="13" customFormat="false" ht="15" hidden="false" customHeight="false" outlineLevel="0" collapsed="false">
      <c r="A13" s="23" t="s">
        <v>86</v>
      </c>
      <c r="B13" s="24" t="n">
        <f aca="false">'Carta Gantt'!H44+'Carta Gantt'!H45+'Carta Gantt'!H46</f>
        <v>4.13333333333333</v>
      </c>
      <c r="C13" s="0" t="n">
        <v>18</v>
      </c>
      <c r="D13" s="0" t="n">
        <v>28</v>
      </c>
      <c r="E13" s="24" t="n">
        <f aca="false">D13-C13+1</f>
        <v>11</v>
      </c>
      <c r="F13" s="24" t="n">
        <f aca="false">CEILING(B13/E13,1)</f>
        <v>1</v>
      </c>
      <c r="G13" s="0" t="n">
        <v>2</v>
      </c>
      <c r="H13" s="24" t="n">
        <f aca="false">F13*G13</f>
        <v>2</v>
      </c>
      <c r="I13" s="24" t="n">
        <f aca="false">CEILING(B13/F13,1)</f>
        <v>5</v>
      </c>
    </row>
    <row r="14" customFormat="false" ht="15" hidden="false" customHeight="false" outlineLevel="0" collapsed="false">
      <c r="A14" s="23" t="s">
        <v>91</v>
      </c>
      <c r="B14" s="24" t="n">
        <f aca="false">'Carta Gantt'!H47</f>
        <v>10.625</v>
      </c>
      <c r="C14" s="0" t="n">
        <v>34</v>
      </c>
      <c r="D14" s="0" t="n">
        <v>52</v>
      </c>
      <c r="E14" s="24" t="n">
        <f aca="false">D14-C14+1</f>
        <v>19</v>
      </c>
      <c r="F14" s="24" t="n">
        <f aca="false">CEILING(B14/E14,1)</f>
        <v>1</v>
      </c>
      <c r="G14" s="0" t="n">
        <v>2</v>
      </c>
      <c r="H14" s="24" t="n">
        <f aca="false">F14*G14</f>
        <v>2</v>
      </c>
      <c r="I14" s="24" t="n">
        <f aca="false">CEILING(B14/F14,1)</f>
        <v>11</v>
      </c>
    </row>
    <row r="15" customFormat="false" ht="15" hidden="false" customHeight="false" outlineLevel="0" collapsed="false">
      <c r="A15" s="23" t="s">
        <v>93</v>
      </c>
      <c r="B15" s="24" t="n">
        <f aca="false">'Carta Gantt'!H48+'Carta Gantt'!H49+'Carta Gantt'!H50+'Carta Gantt'!H51+'Carta Gantt'!H52</f>
        <v>77.0916666666667</v>
      </c>
      <c r="C15" s="0" t="n">
        <v>3</v>
      </c>
      <c r="D15" s="0" t="n">
        <v>30</v>
      </c>
      <c r="E15" s="24" t="n">
        <f aca="false">D15-C15+1</f>
        <v>28</v>
      </c>
      <c r="F15" s="24" t="n">
        <f aca="false">CEILING(B15/E15,1)</f>
        <v>3</v>
      </c>
      <c r="G15" s="0" t="n">
        <v>2</v>
      </c>
      <c r="H15" s="24" t="n">
        <f aca="false">F15*G15</f>
        <v>6</v>
      </c>
      <c r="I15" s="24" t="n">
        <f aca="false">CEILING(B15/F15,1)</f>
        <v>26</v>
      </c>
    </row>
    <row r="16" customFormat="false" ht="15" hidden="false" customHeight="false" outlineLevel="0" collapsed="false">
      <c r="A16" s="23" t="s">
        <v>101</v>
      </c>
      <c r="B16" s="24" t="n">
        <f aca="false">'Carta Gantt'!H53</f>
        <v>1</v>
      </c>
      <c r="C16" s="0" t="n">
        <v>10</v>
      </c>
      <c r="D16" s="0" t="n">
        <v>30</v>
      </c>
      <c r="E16" s="24" t="n">
        <f aca="false">D16-C16+1</f>
        <v>21</v>
      </c>
      <c r="F16" s="24" t="n">
        <f aca="false">CEILING(B16/E16,1)</f>
        <v>1</v>
      </c>
      <c r="G16" s="0" t="n">
        <v>2</v>
      </c>
      <c r="H16" s="24" t="n">
        <f aca="false">F16*G16</f>
        <v>2</v>
      </c>
      <c r="I16" s="24" t="n">
        <f aca="false">CEILING(B16/F16,1)</f>
        <v>1</v>
      </c>
    </row>
    <row r="17" customFormat="false" ht="15" hidden="false" customHeight="false" outlineLevel="0" collapsed="false">
      <c r="A17" s="23" t="s">
        <v>104</v>
      </c>
      <c r="B17" s="24" t="n">
        <f aca="false">'Carta Gantt'!H54</f>
        <v>1</v>
      </c>
      <c r="C17" s="0" t="n">
        <v>1</v>
      </c>
      <c r="D17" s="0" t="n">
        <v>60</v>
      </c>
      <c r="E17" s="24" t="n">
        <f aca="false">D17-C17+1</f>
        <v>60</v>
      </c>
      <c r="F17" s="24" t="n">
        <f aca="false">CEILING(B17/E17,1)</f>
        <v>1</v>
      </c>
      <c r="G17" s="0" t="n">
        <v>1</v>
      </c>
      <c r="H17" s="24" t="n">
        <f aca="false">F17*G17</f>
        <v>1</v>
      </c>
      <c r="I17" s="24" t="n">
        <f aca="false">CEILING(B17/F17,1)</f>
        <v>1</v>
      </c>
    </row>
    <row r="19" customFormat="false" ht="15" hidden="false" customHeight="false" outlineLevel="0" collapsed="false">
      <c r="A19" s="25" t="s">
        <v>113</v>
      </c>
      <c r="B19" s="24" t="n">
        <f aca="false">H4*I4+H5*I5+H6*I6+H7*I7+H8*I8+H9*I9+H10*I10+H11*I11+H12*I12+H13*I13+H14*I14+H15*I15+H16*I16+H17*I17</f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21" t="s">
        <v>114</v>
      </c>
    </row>
    <row r="3" customFormat="false" ht="15" hidden="false" customHeight="false" outlineLevel="0" collapsed="false">
      <c r="A3" s="26" t="s">
        <v>115</v>
      </c>
      <c r="B3" s="26" t="s">
        <v>116</v>
      </c>
    </row>
    <row r="4" customFormat="false" ht="15" hidden="false" customHeight="false" outlineLevel="0" collapsed="false">
      <c r="A4" s="0" t="n">
        <v>1</v>
      </c>
      <c r="B4" s="0" t="n">
        <f aca="false">(('Resumen Cuadrillas'!C4&lt;=1)*('Resumen Cuadrillas'!D4&gt;=1)*'Resumen Cuadrillas'!H4)+(('Resumen Cuadrillas'!C5&lt;=1)*('Resumen Cuadrillas'!D5&gt;=1)*'Resumen Cuadrillas'!H5)+(('Resumen Cuadrillas'!C6&lt;=1)*('Resumen Cuadrillas'!D6&gt;=1)*'Resumen Cuadrillas'!H6)+(('Resumen Cuadrillas'!C7&lt;=1)*('Resumen Cuadrillas'!D7&gt;=1)*'Resumen Cuadrillas'!H7)+(('Resumen Cuadrillas'!C8&lt;=1)*('Resumen Cuadrillas'!D8&gt;=1)*'Resumen Cuadrillas'!H8)+(('Resumen Cuadrillas'!C9&lt;=1)*('Resumen Cuadrillas'!D9&gt;=1)*'Resumen Cuadrillas'!H9)+(('Resumen Cuadrillas'!C10&lt;=1)*('Resumen Cuadrillas'!D10&gt;=1)*'Resumen Cuadrillas'!H10)+(('Resumen Cuadrillas'!C11&lt;=1)*('Resumen Cuadrillas'!D11&gt;=1)*'Resumen Cuadrillas'!H11)+(('Resumen Cuadrillas'!C12&lt;=1)*('Resumen Cuadrillas'!D12&gt;=1)*'Resumen Cuadrillas'!H12)+(('Resumen Cuadrillas'!C13&lt;=1)*('Resumen Cuadrillas'!D13&gt;=1)*'Resumen Cuadrillas'!H13)+(('Resumen Cuadrillas'!C14&lt;=1)*('Resumen Cuadrillas'!D14&gt;=1)*'Resumen Cuadrillas'!H14)+(('Resumen Cuadrillas'!C15&lt;=1)*('Resumen Cuadrillas'!D15&gt;=1)*'Resumen Cuadrillas'!H15)+(('Resumen Cuadrillas'!C16&lt;=1)*('Resumen Cuadrillas'!D16&gt;=1)*'Resumen Cuadrillas'!H16)+(('Resumen Cuadrillas'!C17&lt;=1)*('Resumen Cuadrillas'!D17&gt;=1)*'Resumen Cuadrillas'!H17)</f>
        <v>9</v>
      </c>
    </row>
    <row r="5" customFormat="false" ht="15" hidden="false" customHeight="false" outlineLevel="0" collapsed="false">
      <c r="A5" s="0" t="n">
        <v>2</v>
      </c>
      <c r="B5" s="0" t="n">
        <f aca="false">(('Resumen Cuadrillas'!C4&lt;=2)*('Resumen Cuadrillas'!D4&gt;=2)*'Resumen Cuadrillas'!H4)+(('Resumen Cuadrillas'!C5&lt;=2)*('Resumen Cuadrillas'!D5&gt;=2)*'Resumen Cuadrillas'!H5)+(('Resumen Cuadrillas'!C6&lt;=2)*('Resumen Cuadrillas'!D6&gt;=2)*'Resumen Cuadrillas'!H6)+(('Resumen Cuadrillas'!C7&lt;=2)*('Resumen Cuadrillas'!D7&gt;=2)*'Resumen Cuadrillas'!H7)+(('Resumen Cuadrillas'!C8&lt;=2)*('Resumen Cuadrillas'!D8&gt;=2)*'Resumen Cuadrillas'!H8)+(('Resumen Cuadrillas'!C9&lt;=2)*('Resumen Cuadrillas'!D9&gt;=2)*'Resumen Cuadrillas'!H9)+(('Resumen Cuadrillas'!C10&lt;=2)*('Resumen Cuadrillas'!D10&gt;=2)*'Resumen Cuadrillas'!H10)+(('Resumen Cuadrillas'!C11&lt;=2)*('Resumen Cuadrillas'!D11&gt;=2)*'Resumen Cuadrillas'!H11)+(('Resumen Cuadrillas'!C12&lt;=2)*('Resumen Cuadrillas'!D12&gt;=2)*'Resumen Cuadrillas'!H12)+(('Resumen Cuadrillas'!C13&lt;=2)*('Resumen Cuadrillas'!D13&gt;=2)*'Resumen Cuadrillas'!H13)+(('Resumen Cuadrillas'!C14&lt;=2)*('Resumen Cuadrillas'!D14&gt;=2)*'Resumen Cuadrillas'!H14)+(('Resumen Cuadrillas'!C15&lt;=2)*('Resumen Cuadrillas'!D15&gt;=2)*'Resumen Cuadrillas'!H15)+(('Resumen Cuadrillas'!C16&lt;=2)*('Resumen Cuadrillas'!D16&gt;=2)*'Resumen Cuadrillas'!H16)+(('Resumen Cuadrillas'!C17&lt;=2)*('Resumen Cuadrillas'!D17&gt;=2)*'Resumen Cuadrillas'!H17)</f>
        <v>9</v>
      </c>
    </row>
    <row r="6" customFormat="false" ht="15" hidden="false" customHeight="false" outlineLevel="0" collapsed="false">
      <c r="A6" s="0" t="n">
        <v>3</v>
      </c>
      <c r="B6" s="0" t="n">
        <f aca="false">(('Resumen Cuadrillas'!C4&lt;=3)*('Resumen Cuadrillas'!D4&gt;=3)*'Resumen Cuadrillas'!H4)+(('Resumen Cuadrillas'!C5&lt;=3)*('Resumen Cuadrillas'!D5&gt;=3)*'Resumen Cuadrillas'!H5)+(('Resumen Cuadrillas'!C6&lt;=3)*('Resumen Cuadrillas'!D6&gt;=3)*'Resumen Cuadrillas'!H6)+(('Resumen Cuadrillas'!C7&lt;=3)*('Resumen Cuadrillas'!D7&gt;=3)*'Resumen Cuadrillas'!H7)+(('Resumen Cuadrillas'!C8&lt;=3)*('Resumen Cuadrillas'!D8&gt;=3)*'Resumen Cuadrillas'!H8)+(('Resumen Cuadrillas'!C9&lt;=3)*('Resumen Cuadrillas'!D9&gt;=3)*'Resumen Cuadrillas'!H9)+(('Resumen Cuadrillas'!C10&lt;=3)*('Resumen Cuadrillas'!D10&gt;=3)*'Resumen Cuadrillas'!H10)+(('Resumen Cuadrillas'!C11&lt;=3)*('Resumen Cuadrillas'!D11&gt;=3)*'Resumen Cuadrillas'!H11)+(('Resumen Cuadrillas'!C12&lt;=3)*('Resumen Cuadrillas'!D12&gt;=3)*'Resumen Cuadrillas'!H12)+(('Resumen Cuadrillas'!C13&lt;=3)*('Resumen Cuadrillas'!D13&gt;=3)*'Resumen Cuadrillas'!H13)+(('Resumen Cuadrillas'!C14&lt;=3)*('Resumen Cuadrillas'!D14&gt;=3)*'Resumen Cuadrillas'!H14)+(('Resumen Cuadrillas'!C15&lt;=3)*('Resumen Cuadrillas'!D15&gt;=3)*'Resumen Cuadrillas'!H15)+(('Resumen Cuadrillas'!C16&lt;=3)*('Resumen Cuadrillas'!D16&gt;=3)*'Resumen Cuadrillas'!H16)+(('Resumen Cuadrillas'!C17&lt;=3)*('Resumen Cuadrillas'!D17&gt;=3)*'Resumen Cuadrillas'!H17)</f>
        <v>15</v>
      </c>
    </row>
    <row r="7" customFormat="false" ht="15" hidden="false" customHeight="false" outlineLevel="0" collapsed="false">
      <c r="A7" s="0" t="n">
        <v>4</v>
      </c>
      <c r="B7" s="0" t="n">
        <f aca="false">(('Resumen Cuadrillas'!C4&lt;=4)*('Resumen Cuadrillas'!D4&gt;=4)*'Resumen Cuadrillas'!H4)+(('Resumen Cuadrillas'!C5&lt;=4)*('Resumen Cuadrillas'!D5&gt;=4)*'Resumen Cuadrillas'!H5)+(('Resumen Cuadrillas'!C6&lt;=4)*('Resumen Cuadrillas'!D6&gt;=4)*'Resumen Cuadrillas'!H6)+(('Resumen Cuadrillas'!C7&lt;=4)*('Resumen Cuadrillas'!D7&gt;=4)*'Resumen Cuadrillas'!H7)+(('Resumen Cuadrillas'!C8&lt;=4)*('Resumen Cuadrillas'!D8&gt;=4)*'Resumen Cuadrillas'!H8)+(('Resumen Cuadrillas'!C9&lt;=4)*('Resumen Cuadrillas'!D9&gt;=4)*'Resumen Cuadrillas'!H9)+(('Resumen Cuadrillas'!C10&lt;=4)*('Resumen Cuadrillas'!D10&gt;=4)*'Resumen Cuadrillas'!H10)+(('Resumen Cuadrillas'!C11&lt;=4)*('Resumen Cuadrillas'!D11&gt;=4)*'Resumen Cuadrillas'!H11)+(('Resumen Cuadrillas'!C12&lt;=4)*('Resumen Cuadrillas'!D12&gt;=4)*'Resumen Cuadrillas'!H12)+(('Resumen Cuadrillas'!C13&lt;=4)*('Resumen Cuadrillas'!D13&gt;=4)*'Resumen Cuadrillas'!H13)+(('Resumen Cuadrillas'!C14&lt;=4)*('Resumen Cuadrillas'!D14&gt;=4)*'Resumen Cuadrillas'!H14)+(('Resumen Cuadrillas'!C15&lt;=4)*('Resumen Cuadrillas'!D15&gt;=4)*'Resumen Cuadrillas'!H15)+(('Resumen Cuadrillas'!C16&lt;=4)*('Resumen Cuadrillas'!D16&gt;=4)*'Resumen Cuadrillas'!H16)+(('Resumen Cuadrillas'!C17&lt;=4)*('Resumen Cuadrillas'!D17&gt;=4)*'Resumen Cuadrillas'!H17)</f>
        <v>19</v>
      </c>
    </row>
    <row r="8" customFormat="false" ht="15" hidden="false" customHeight="false" outlineLevel="0" collapsed="false">
      <c r="A8" s="0" t="n">
        <v>5</v>
      </c>
      <c r="B8" s="0" t="n">
        <f aca="false">(('Resumen Cuadrillas'!C4&lt;=5)*('Resumen Cuadrillas'!D4&gt;=5)*'Resumen Cuadrillas'!H4)+(('Resumen Cuadrillas'!C5&lt;=5)*('Resumen Cuadrillas'!D5&gt;=5)*'Resumen Cuadrillas'!H5)+(('Resumen Cuadrillas'!C6&lt;=5)*('Resumen Cuadrillas'!D6&gt;=5)*'Resumen Cuadrillas'!H6)+(('Resumen Cuadrillas'!C7&lt;=5)*('Resumen Cuadrillas'!D7&gt;=5)*'Resumen Cuadrillas'!H7)+(('Resumen Cuadrillas'!C8&lt;=5)*('Resumen Cuadrillas'!D8&gt;=5)*'Resumen Cuadrillas'!H8)+(('Resumen Cuadrillas'!C9&lt;=5)*('Resumen Cuadrillas'!D9&gt;=5)*'Resumen Cuadrillas'!H9)+(('Resumen Cuadrillas'!C10&lt;=5)*('Resumen Cuadrillas'!D10&gt;=5)*'Resumen Cuadrillas'!H10)+(('Resumen Cuadrillas'!C11&lt;=5)*('Resumen Cuadrillas'!D11&gt;=5)*'Resumen Cuadrillas'!H11)+(('Resumen Cuadrillas'!C12&lt;=5)*('Resumen Cuadrillas'!D12&gt;=5)*'Resumen Cuadrillas'!H12)+(('Resumen Cuadrillas'!C13&lt;=5)*('Resumen Cuadrillas'!D13&gt;=5)*'Resumen Cuadrillas'!H13)+(('Resumen Cuadrillas'!C14&lt;=5)*('Resumen Cuadrillas'!D14&gt;=5)*'Resumen Cuadrillas'!H14)+(('Resumen Cuadrillas'!C15&lt;=5)*('Resumen Cuadrillas'!D15&gt;=5)*'Resumen Cuadrillas'!H15)+(('Resumen Cuadrillas'!C16&lt;=5)*('Resumen Cuadrillas'!D16&gt;=5)*'Resumen Cuadrillas'!H16)+(('Resumen Cuadrillas'!C17&lt;=5)*('Resumen Cuadrillas'!D17&gt;=5)*'Resumen Cuadrillas'!H17)</f>
        <v>19</v>
      </c>
    </row>
    <row r="9" customFormat="false" ht="15" hidden="false" customHeight="false" outlineLevel="0" collapsed="false">
      <c r="A9" s="0" t="n">
        <v>6</v>
      </c>
      <c r="B9" s="0" t="n">
        <f aca="false">(('Resumen Cuadrillas'!C4&lt;=6)*('Resumen Cuadrillas'!D4&gt;=6)*'Resumen Cuadrillas'!H4)+(('Resumen Cuadrillas'!C5&lt;=6)*('Resumen Cuadrillas'!D5&gt;=6)*'Resumen Cuadrillas'!H5)+(('Resumen Cuadrillas'!C6&lt;=6)*('Resumen Cuadrillas'!D6&gt;=6)*'Resumen Cuadrillas'!H6)+(('Resumen Cuadrillas'!C7&lt;=6)*('Resumen Cuadrillas'!D7&gt;=6)*'Resumen Cuadrillas'!H7)+(('Resumen Cuadrillas'!C8&lt;=6)*('Resumen Cuadrillas'!D8&gt;=6)*'Resumen Cuadrillas'!H8)+(('Resumen Cuadrillas'!C9&lt;=6)*('Resumen Cuadrillas'!D9&gt;=6)*'Resumen Cuadrillas'!H9)+(('Resumen Cuadrillas'!C10&lt;=6)*('Resumen Cuadrillas'!D10&gt;=6)*'Resumen Cuadrillas'!H10)+(('Resumen Cuadrillas'!C11&lt;=6)*('Resumen Cuadrillas'!D11&gt;=6)*'Resumen Cuadrillas'!H11)+(('Resumen Cuadrillas'!C12&lt;=6)*('Resumen Cuadrillas'!D12&gt;=6)*'Resumen Cuadrillas'!H12)+(('Resumen Cuadrillas'!C13&lt;=6)*('Resumen Cuadrillas'!D13&gt;=6)*'Resumen Cuadrillas'!H13)+(('Resumen Cuadrillas'!C14&lt;=6)*('Resumen Cuadrillas'!D14&gt;=6)*'Resumen Cuadrillas'!H14)+(('Resumen Cuadrillas'!C15&lt;=6)*('Resumen Cuadrillas'!D15&gt;=6)*'Resumen Cuadrillas'!H15)+(('Resumen Cuadrillas'!C16&lt;=6)*('Resumen Cuadrillas'!D16&gt;=6)*'Resumen Cuadrillas'!H16)+(('Resumen Cuadrillas'!C17&lt;=6)*('Resumen Cuadrillas'!D17&gt;=6)*'Resumen Cuadrillas'!H17)</f>
        <v>21</v>
      </c>
    </row>
    <row r="10" customFormat="false" ht="15" hidden="false" customHeight="false" outlineLevel="0" collapsed="false">
      <c r="A10" s="0" t="n">
        <v>7</v>
      </c>
      <c r="B10" s="0" t="n">
        <f aca="false">(('Resumen Cuadrillas'!C4&lt;=7)*('Resumen Cuadrillas'!D4&gt;=7)*'Resumen Cuadrillas'!H4)+(('Resumen Cuadrillas'!C5&lt;=7)*('Resumen Cuadrillas'!D5&gt;=7)*'Resumen Cuadrillas'!H5)+(('Resumen Cuadrillas'!C6&lt;=7)*('Resumen Cuadrillas'!D6&gt;=7)*'Resumen Cuadrillas'!H6)+(('Resumen Cuadrillas'!C7&lt;=7)*('Resumen Cuadrillas'!D7&gt;=7)*'Resumen Cuadrillas'!H7)+(('Resumen Cuadrillas'!C8&lt;=7)*('Resumen Cuadrillas'!D8&gt;=7)*'Resumen Cuadrillas'!H8)+(('Resumen Cuadrillas'!C9&lt;=7)*('Resumen Cuadrillas'!D9&gt;=7)*'Resumen Cuadrillas'!H9)+(('Resumen Cuadrillas'!C10&lt;=7)*('Resumen Cuadrillas'!D10&gt;=7)*'Resumen Cuadrillas'!H10)+(('Resumen Cuadrillas'!C11&lt;=7)*('Resumen Cuadrillas'!D11&gt;=7)*'Resumen Cuadrillas'!H11)+(('Resumen Cuadrillas'!C12&lt;=7)*('Resumen Cuadrillas'!D12&gt;=7)*'Resumen Cuadrillas'!H12)+(('Resumen Cuadrillas'!C13&lt;=7)*('Resumen Cuadrillas'!D13&gt;=7)*'Resumen Cuadrillas'!H13)+(('Resumen Cuadrillas'!C14&lt;=7)*('Resumen Cuadrillas'!D14&gt;=7)*'Resumen Cuadrillas'!H14)+(('Resumen Cuadrillas'!C15&lt;=7)*('Resumen Cuadrillas'!D15&gt;=7)*'Resumen Cuadrillas'!H15)+(('Resumen Cuadrillas'!C16&lt;=7)*('Resumen Cuadrillas'!D16&gt;=7)*'Resumen Cuadrillas'!H16)+(('Resumen Cuadrillas'!C17&lt;=7)*('Resumen Cuadrillas'!D17&gt;=7)*'Resumen Cuadrillas'!H17)</f>
        <v>21</v>
      </c>
    </row>
    <row r="11" customFormat="false" ht="15" hidden="false" customHeight="false" outlineLevel="0" collapsed="false">
      <c r="A11" s="0" t="n">
        <v>8</v>
      </c>
      <c r="B11" s="0" t="n">
        <f aca="false">(('Resumen Cuadrillas'!C4&lt;=8)*('Resumen Cuadrillas'!D4&gt;=8)*'Resumen Cuadrillas'!H4)+(('Resumen Cuadrillas'!C5&lt;=8)*('Resumen Cuadrillas'!D5&gt;=8)*'Resumen Cuadrillas'!H5)+(('Resumen Cuadrillas'!C6&lt;=8)*('Resumen Cuadrillas'!D6&gt;=8)*'Resumen Cuadrillas'!H6)+(('Resumen Cuadrillas'!C7&lt;=8)*('Resumen Cuadrillas'!D7&gt;=8)*'Resumen Cuadrillas'!H7)+(('Resumen Cuadrillas'!C8&lt;=8)*('Resumen Cuadrillas'!D8&gt;=8)*'Resumen Cuadrillas'!H8)+(('Resumen Cuadrillas'!C9&lt;=8)*('Resumen Cuadrillas'!D9&gt;=8)*'Resumen Cuadrillas'!H9)+(('Resumen Cuadrillas'!C10&lt;=8)*('Resumen Cuadrillas'!D10&gt;=8)*'Resumen Cuadrillas'!H10)+(('Resumen Cuadrillas'!C11&lt;=8)*('Resumen Cuadrillas'!D11&gt;=8)*'Resumen Cuadrillas'!H11)+(('Resumen Cuadrillas'!C12&lt;=8)*('Resumen Cuadrillas'!D12&gt;=8)*'Resumen Cuadrillas'!H12)+(('Resumen Cuadrillas'!C13&lt;=8)*('Resumen Cuadrillas'!D13&gt;=8)*'Resumen Cuadrillas'!H13)+(('Resumen Cuadrillas'!C14&lt;=8)*('Resumen Cuadrillas'!D14&gt;=8)*'Resumen Cuadrillas'!H14)+(('Resumen Cuadrillas'!C15&lt;=8)*('Resumen Cuadrillas'!D15&gt;=8)*'Resumen Cuadrillas'!H15)+(('Resumen Cuadrillas'!C16&lt;=8)*('Resumen Cuadrillas'!D16&gt;=8)*'Resumen Cuadrillas'!H16)+(('Resumen Cuadrillas'!C17&lt;=8)*('Resumen Cuadrillas'!D17&gt;=8)*'Resumen Cuadrillas'!H17)</f>
        <v>21</v>
      </c>
    </row>
    <row r="12" customFormat="false" ht="15" hidden="false" customHeight="false" outlineLevel="0" collapsed="false">
      <c r="A12" s="0" t="n">
        <v>9</v>
      </c>
      <c r="B12" s="0" t="n">
        <f aca="false">(('Resumen Cuadrillas'!C4&lt;=9)*('Resumen Cuadrillas'!D4&gt;=9)*'Resumen Cuadrillas'!H4)+(('Resumen Cuadrillas'!C5&lt;=9)*('Resumen Cuadrillas'!D5&gt;=9)*'Resumen Cuadrillas'!H5)+(('Resumen Cuadrillas'!C6&lt;=9)*('Resumen Cuadrillas'!D6&gt;=9)*'Resumen Cuadrillas'!H6)+(('Resumen Cuadrillas'!C7&lt;=9)*('Resumen Cuadrillas'!D7&gt;=9)*'Resumen Cuadrillas'!H7)+(('Resumen Cuadrillas'!C8&lt;=9)*('Resumen Cuadrillas'!D8&gt;=9)*'Resumen Cuadrillas'!H8)+(('Resumen Cuadrillas'!C9&lt;=9)*('Resumen Cuadrillas'!D9&gt;=9)*'Resumen Cuadrillas'!H9)+(('Resumen Cuadrillas'!C10&lt;=9)*('Resumen Cuadrillas'!D10&gt;=9)*'Resumen Cuadrillas'!H10)+(('Resumen Cuadrillas'!C11&lt;=9)*('Resumen Cuadrillas'!D11&gt;=9)*'Resumen Cuadrillas'!H11)+(('Resumen Cuadrillas'!C12&lt;=9)*('Resumen Cuadrillas'!D12&gt;=9)*'Resumen Cuadrillas'!H12)+(('Resumen Cuadrillas'!C13&lt;=9)*('Resumen Cuadrillas'!D13&gt;=9)*'Resumen Cuadrillas'!H13)+(('Resumen Cuadrillas'!C14&lt;=9)*('Resumen Cuadrillas'!D14&gt;=9)*'Resumen Cuadrillas'!H14)+(('Resumen Cuadrillas'!C15&lt;=9)*('Resumen Cuadrillas'!D15&gt;=9)*'Resumen Cuadrillas'!H15)+(('Resumen Cuadrillas'!C16&lt;=9)*('Resumen Cuadrillas'!D16&gt;=9)*'Resumen Cuadrillas'!H16)+(('Resumen Cuadrillas'!C17&lt;=9)*('Resumen Cuadrillas'!D17&gt;=9)*'Resumen Cuadrillas'!H17)</f>
        <v>21</v>
      </c>
    </row>
    <row r="13" customFormat="false" ht="15" hidden="false" customHeight="false" outlineLevel="0" collapsed="false">
      <c r="A13" s="0" t="n">
        <v>10</v>
      </c>
      <c r="B13" s="0" t="n">
        <f aca="false">(('Resumen Cuadrillas'!C4&lt;=10)*('Resumen Cuadrillas'!D4&gt;=10)*'Resumen Cuadrillas'!H4)+(('Resumen Cuadrillas'!C5&lt;=10)*('Resumen Cuadrillas'!D5&gt;=10)*'Resumen Cuadrillas'!H5)+(('Resumen Cuadrillas'!C6&lt;=10)*('Resumen Cuadrillas'!D6&gt;=10)*'Resumen Cuadrillas'!H6)+(('Resumen Cuadrillas'!C7&lt;=10)*('Resumen Cuadrillas'!D7&gt;=10)*'Resumen Cuadrillas'!H7)+(('Resumen Cuadrillas'!C8&lt;=10)*('Resumen Cuadrillas'!D8&gt;=10)*'Resumen Cuadrillas'!H8)+(('Resumen Cuadrillas'!C9&lt;=10)*('Resumen Cuadrillas'!D9&gt;=10)*'Resumen Cuadrillas'!H9)+(('Resumen Cuadrillas'!C10&lt;=10)*('Resumen Cuadrillas'!D10&gt;=10)*'Resumen Cuadrillas'!H10)+(('Resumen Cuadrillas'!C11&lt;=10)*('Resumen Cuadrillas'!D11&gt;=10)*'Resumen Cuadrillas'!H11)+(('Resumen Cuadrillas'!C12&lt;=10)*('Resumen Cuadrillas'!D12&gt;=10)*'Resumen Cuadrillas'!H12)+(('Resumen Cuadrillas'!C13&lt;=10)*('Resumen Cuadrillas'!D13&gt;=10)*'Resumen Cuadrillas'!H13)+(('Resumen Cuadrillas'!C14&lt;=10)*('Resumen Cuadrillas'!D14&gt;=10)*'Resumen Cuadrillas'!H14)+(('Resumen Cuadrillas'!C15&lt;=10)*('Resumen Cuadrillas'!D15&gt;=10)*'Resumen Cuadrillas'!H15)+(('Resumen Cuadrillas'!C16&lt;=10)*('Resumen Cuadrillas'!D16&gt;=10)*'Resumen Cuadrillas'!H16)+(('Resumen Cuadrillas'!C17&lt;=10)*('Resumen Cuadrillas'!D17&gt;=10)*'Resumen Cuadrillas'!H17)</f>
        <v>23</v>
      </c>
    </row>
    <row r="14" customFormat="false" ht="15" hidden="false" customHeight="false" outlineLevel="0" collapsed="false">
      <c r="A14" s="0" t="n">
        <v>11</v>
      </c>
      <c r="B14" s="0" t="n">
        <f aca="false">(('Resumen Cuadrillas'!C4&lt;=11)*('Resumen Cuadrillas'!D4&gt;=11)*'Resumen Cuadrillas'!H4)+(('Resumen Cuadrillas'!C5&lt;=11)*('Resumen Cuadrillas'!D5&gt;=11)*'Resumen Cuadrillas'!H5)+(('Resumen Cuadrillas'!C6&lt;=11)*('Resumen Cuadrillas'!D6&gt;=11)*'Resumen Cuadrillas'!H6)+(('Resumen Cuadrillas'!C7&lt;=11)*('Resumen Cuadrillas'!D7&gt;=11)*'Resumen Cuadrillas'!H7)+(('Resumen Cuadrillas'!C8&lt;=11)*('Resumen Cuadrillas'!D8&gt;=11)*'Resumen Cuadrillas'!H8)+(('Resumen Cuadrillas'!C9&lt;=11)*('Resumen Cuadrillas'!D9&gt;=11)*'Resumen Cuadrillas'!H9)+(('Resumen Cuadrillas'!C10&lt;=11)*('Resumen Cuadrillas'!D10&gt;=11)*'Resumen Cuadrillas'!H10)+(('Resumen Cuadrillas'!C11&lt;=11)*('Resumen Cuadrillas'!D11&gt;=11)*'Resumen Cuadrillas'!H11)+(('Resumen Cuadrillas'!C12&lt;=11)*('Resumen Cuadrillas'!D12&gt;=11)*'Resumen Cuadrillas'!H12)+(('Resumen Cuadrillas'!C13&lt;=11)*('Resumen Cuadrillas'!D13&gt;=11)*'Resumen Cuadrillas'!H13)+(('Resumen Cuadrillas'!C14&lt;=11)*('Resumen Cuadrillas'!D14&gt;=11)*'Resumen Cuadrillas'!H14)+(('Resumen Cuadrillas'!C15&lt;=11)*('Resumen Cuadrillas'!D15&gt;=11)*'Resumen Cuadrillas'!H15)+(('Resumen Cuadrillas'!C16&lt;=11)*('Resumen Cuadrillas'!D16&gt;=11)*'Resumen Cuadrillas'!H16)+(('Resumen Cuadrillas'!C17&lt;=11)*('Resumen Cuadrillas'!D17&gt;=11)*'Resumen Cuadrillas'!H17)</f>
        <v>19</v>
      </c>
    </row>
    <row r="15" customFormat="false" ht="15" hidden="false" customHeight="false" outlineLevel="0" collapsed="false">
      <c r="A15" s="0" t="n">
        <v>12</v>
      </c>
      <c r="B15" s="0" t="n">
        <f aca="false">(('Resumen Cuadrillas'!C4&lt;=12)*('Resumen Cuadrillas'!D4&gt;=12)*'Resumen Cuadrillas'!H4)+(('Resumen Cuadrillas'!C5&lt;=12)*('Resumen Cuadrillas'!D5&gt;=12)*'Resumen Cuadrillas'!H5)+(('Resumen Cuadrillas'!C6&lt;=12)*('Resumen Cuadrillas'!D6&gt;=12)*'Resumen Cuadrillas'!H6)+(('Resumen Cuadrillas'!C7&lt;=12)*('Resumen Cuadrillas'!D7&gt;=12)*'Resumen Cuadrillas'!H7)+(('Resumen Cuadrillas'!C8&lt;=12)*('Resumen Cuadrillas'!D8&gt;=12)*'Resumen Cuadrillas'!H8)+(('Resumen Cuadrillas'!C9&lt;=12)*('Resumen Cuadrillas'!D9&gt;=12)*'Resumen Cuadrillas'!H9)+(('Resumen Cuadrillas'!C10&lt;=12)*('Resumen Cuadrillas'!D10&gt;=12)*'Resumen Cuadrillas'!H10)+(('Resumen Cuadrillas'!C11&lt;=12)*('Resumen Cuadrillas'!D11&gt;=12)*'Resumen Cuadrillas'!H11)+(('Resumen Cuadrillas'!C12&lt;=12)*('Resumen Cuadrillas'!D12&gt;=12)*'Resumen Cuadrillas'!H12)+(('Resumen Cuadrillas'!C13&lt;=12)*('Resumen Cuadrillas'!D13&gt;=12)*'Resumen Cuadrillas'!H13)+(('Resumen Cuadrillas'!C14&lt;=12)*('Resumen Cuadrillas'!D14&gt;=12)*'Resumen Cuadrillas'!H14)+(('Resumen Cuadrillas'!C15&lt;=12)*('Resumen Cuadrillas'!D15&gt;=12)*'Resumen Cuadrillas'!H15)+(('Resumen Cuadrillas'!C16&lt;=12)*('Resumen Cuadrillas'!D16&gt;=12)*'Resumen Cuadrillas'!H16)+(('Resumen Cuadrillas'!C17&lt;=12)*('Resumen Cuadrillas'!D17&gt;=12)*'Resumen Cuadrillas'!H17)</f>
        <v>26</v>
      </c>
    </row>
    <row r="16" customFormat="false" ht="15" hidden="false" customHeight="false" outlineLevel="0" collapsed="false">
      <c r="A16" s="0" t="n">
        <v>13</v>
      </c>
      <c r="B16" s="0" t="n">
        <f aca="false">(('Resumen Cuadrillas'!C4&lt;=13)*('Resumen Cuadrillas'!D4&gt;=13)*'Resumen Cuadrillas'!H4)+(('Resumen Cuadrillas'!C5&lt;=13)*('Resumen Cuadrillas'!D5&gt;=13)*'Resumen Cuadrillas'!H5)+(('Resumen Cuadrillas'!C6&lt;=13)*('Resumen Cuadrillas'!D6&gt;=13)*'Resumen Cuadrillas'!H6)+(('Resumen Cuadrillas'!C7&lt;=13)*('Resumen Cuadrillas'!D7&gt;=13)*'Resumen Cuadrillas'!H7)+(('Resumen Cuadrillas'!C8&lt;=13)*('Resumen Cuadrillas'!D8&gt;=13)*'Resumen Cuadrillas'!H8)+(('Resumen Cuadrillas'!C9&lt;=13)*('Resumen Cuadrillas'!D9&gt;=13)*'Resumen Cuadrillas'!H9)+(('Resumen Cuadrillas'!C10&lt;=13)*('Resumen Cuadrillas'!D10&gt;=13)*'Resumen Cuadrillas'!H10)+(('Resumen Cuadrillas'!C11&lt;=13)*('Resumen Cuadrillas'!D11&gt;=13)*'Resumen Cuadrillas'!H11)+(('Resumen Cuadrillas'!C12&lt;=13)*('Resumen Cuadrillas'!D12&gt;=13)*'Resumen Cuadrillas'!H12)+(('Resumen Cuadrillas'!C13&lt;=13)*('Resumen Cuadrillas'!D13&gt;=13)*'Resumen Cuadrillas'!H13)+(('Resumen Cuadrillas'!C14&lt;=13)*('Resumen Cuadrillas'!D14&gt;=13)*'Resumen Cuadrillas'!H14)+(('Resumen Cuadrillas'!C15&lt;=13)*('Resumen Cuadrillas'!D15&gt;=13)*'Resumen Cuadrillas'!H15)+(('Resumen Cuadrillas'!C16&lt;=13)*('Resumen Cuadrillas'!D16&gt;=13)*'Resumen Cuadrillas'!H16)+(('Resumen Cuadrillas'!C17&lt;=13)*('Resumen Cuadrillas'!D17&gt;=13)*'Resumen Cuadrillas'!H17)</f>
        <v>26</v>
      </c>
    </row>
    <row r="17" customFormat="false" ht="15" hidden="false" customHeight="false" outlineLevel="0" collapsed="false">
      <c r="A17" s="0" t="n">
        <v>14</v>
      </c>
      <c r="B17" s="0" t="n">
        <f aca="false">(('Resumen Cuadrillas'!C4&lt;=14)*('Resumen Cuadrillas'!D4&gt;=14)*'Resumen Cuadrillas'!H4)+(('Resumen Cuadrillas'!C5&lt;=14)*('Resumen Cuadrillas'!D5&gt;=14)*'Resumen Cuadrillas'!H5)+(('Resumen Cuadrillas'!C6&lt;=14)*('Resumen Cuadrillas'!D6&gt;=14)*'Resumen Cuadrillas'!H6)+(('Resumen Cuadrillas'!C7&lt;=14)*('Resumen Cuadrillas'!D7&gt;=14)*'Resumen Cuadrillas'!H7)+(('Resumen Cuadrillas'!C8&lt;=14)*('Resumen Cuadrillas'!D8&gt;=14)*'Resumen Cuadrillas'!H8)+(('Resumen Cuadrillas'!C9&lt;=14)*('Resumen Cuadrillas'!D9&gt;=14)*'Resumen Cuadrillas'!H9)+(('Resumen Cuadrillas'!C10&lt;=14)*('Resumen Cuadrillas'!D10&gt;=14)*'Resumen Cuadrillas'!H10)+(('Resumen Cuadrillas'!C11&lt;=14)*('Resumen Cuadrillas'!D11&gt;=14)*'Resumen Cuadrillas'!H11)+(('Resumen Cuadrillas'!C12&lt;=14)*('Resumen Cuadrillas'!D12&gt;=14)*'Resumen Cuadrillas'!H12)+(('Resumen Cuadrillas'!C13&lt;=14)*('Resumen Cuadrillas'!D13&gt;=14)*'Resumen Cuadrillas'!H13)+(('Resumen Cuadrillas'!C14&lt;=14)*('Resumen Cuadrillas'!D14&gt;=14)*'Resumen Cuadrillas'!H14)+(('Resumen Cuadrillas'!C15&lt;=14)*('Resumen Cuadrillas'!D15&gt;=14)*'Resumen Cuadrillas'!H15)+(('Resumen Cuadrillas'!C16&lt;=14)*('Resumen Cuadrillas'!D16&gt;=14)*'Resumen Cuadrillas'!H16)+(('Resumen Cuadrillas'!C17&lt;=14)*('Resumen Cuadrillas'!D17&gt;=14)*'Resumen Cuadrillas'!H17)</f>
        <v>22</v>
      </c>
    </row>
    <row r="18" customFormat="false" ht="15" hidden="false" customHeight="false" outlineLevel="0" collapsed="false">
      <c r="A18" s="0" t="n">
        <v>15</v>
      </c>
      <c r="B18" s="0" t="n">
        <f aca="false">(('Resumen Cuadrillas'!C4&lt;=15)*('Resumen Cuadrillas'!D4&gt;=15)*'Resumen Cuadrillas'!H4)+(('Resumen Cuadrillas'!C5&lt;=15)*('Resumen Cuadrillas'!D5&gt;=15)*'Resumen Cuadrillas'!H5)+(('Resumen Cuadrillas'!C6&lt;=15)*('Resumen Cuadrillas'!D6&gt;=15)*'Resumen Cuadrillas'!H6)+(('Resumen Cuadrillas'!C7&lt;=15)*('Resumen Cuadrillas'!D7&gt;=15)*'Resumen Cuadrillas'!H7)+(('Resumen Cuadrillas'!C8&lt;=15)*('Resumen Cuadrillas'!D8&gt;=15)*'Resumen Cuadrillas'!H8)+(('Resumen Cuadrillas'!C9&lt;=15)*('Resumen Cuadrillas'!D9&gt;=15)*'Resumen Cuadrillas'!H9)+(('Resumen Cuadrillas'!C10&lt;=15)*('Resumen Cuadrillas'!D10&gt;=15)*'Resumen Cuadrillas'!H10)+(('Resumen Cuadrillas'!C11&lt;=15)*('Resumen Cuadrillas'!D11&gt;=15)*'Resumen Cuadrillas'!H11)+(('Resumen Cuadrillas'!C12&lt;=15)*('Resumen Cuadrillas'!D12&gt;=15)*'Resumen Cuadrillas'!H12)+(('Resumen Cuadrillas'!C13&lt;=15)*('Resumen Cuadrillas'!D13&gt;=15)*'Resumen Cuadrillas'!H13)+(('Resumen Cuadrillas'!C14&lt;=15)*('Resumen Cuadrillas'!D14&gt;=15)*'Resumen Cuadrillas'!H14)+(('Resumen Cuadrillas'!C15&lt;=15)*('Resumen Cuadrillas'!D15&gt;=15)*'Resumen Cuadrillas'!H15)+(('Resumen Cuadrillas'!C16&lt;=15)*('Resumen Cuadrillas'!D16&gt;=15)*'Resumen Cuadrillas'!H16)+(('Resumen Cuadrillas'!C17&lt;=15)*('Resumen Cuadrillas'!D17&gt;=15)*'Resumen Cuadrillas'!H17)</f>
        <v>22</v>
      </c>
    </row>
    <row r="19" customFormat="false" ht="15" hidden="false" customHeight="false" outlineLevel="0" collapsed="false">
      <c r="A19" s="0" t="n">
        <v>16</v>
      </c>
      <c r="B19" s="0" t="n">
        <f aca="false">(('Resumen Cuadrillas'!C4&lt;=16)*('Resumen Cuadrillas'!D4&gt;=16)*'Resumen Cuadrillas'!H4)+(('Resumen Cuadrillas'!C5&lt;=16)*('Resumen Cuadrillas'!D5&gt;=16)*'Resumen Cuadrillas'!H5)+(('Resumen Cuadrillas'!C6&lt;=16)*('Resumen Cuadrillas'!D6&gt;=16)*'Resumen Cuadrillas'!H6)+(('Resumen Cuadrillas'!C7&lt;=16)*('Resumen Cuadrillas'!D7&gt;=16)*'Resumen Cuadrillas'!H7)+(('Resumen Cuadrillas'!C8&lt;=16)*('Resumen Cuadrillas'!D8&gt;=16)*'Resumen Cuadrillas'!H8)+(('Resumen Cuadrillas'!C9&lt;=16)*('Resumen Cuadrillas'!D9&gt;=16)*'Resumen Cuadrillas'!H9)+(('Resumen Cuadrillas'!C10&lt;=16)*('Resumen Cuadrillas'!D10&gt;=16)*'Resumen Cuadrillas'!H10)+(('Resumen Cuadrillas'!C11&lt;=16)*('Resumen Cuadrillas'!D11&gt;=16)*'Resumen Cuadrillas'!H11)+(('Resumen Cuadrillas'!C12&lt;=16)*('Resumen Cuadrillas'!D12&gt;=16)*'Resumen Cuadrillas'!H12)+(('Resumen Cuadrillas'!C13&lt;=16)*('Resumen Cuadrillas'!D13&gt;=16)*'Resumen Cuadrillas'!H13)+(('Resumen Cuadrillas'!C14&lt;=16)*('Resumen Cuadrillas'!D14&gt;=16)*'Resumen Cuadrillas'!H14)+(('Resumen Cuadrillas'!C15&lt;=16)*('Resumen Cuadrillas'!D15&gt;=16)*'Resumen Cuadrillas'!H15)+(('Resumen Cuadrillas'!C16&lt;=16)*('Resumen Cuadrillas'!D16&gt;=16)*'Resumen Cuadrillas'!H16)+(('Resumen Cuadrillas'!C17&lt;=16)*('Resumen Cuadrillas'!D17&gt;=16)*'Resumen Cuadrillas'!H17)</f>
        <v>22</v>
      </c>
    </row>
    <row r="20" customFormat="false" ht="15" hidden="false" customHeight="false" outlineLevel="0" collapsed="false">
      <c r="A20" s="0" t="n">
        <v>17</v>
      </c>
      <c r="B20" s="0" t="n">
        <f aca="false">(('Resumen Cuadrillas'!C4&lt;=17)*('Resumen Cuadrillas'!D4&gt;=17)*'Resumen Cuadrillas'!H4)+(('Resumen Cuadrillas'!C5&lt;=17)*('Resumen Cuadrillas'!D5&gt;=17)*'Resumen Cuadrillas'!H5)+(('Resumen Cuadrillas'!C6&lt;=17)*('Resumen Cuadrillas'!D6&gt;=17)*'Resumen Cuadrillas'!H6)+(('Resumen Cuadrillas'!C7&lt;=17)*('Resumen Cuadrillas'!D7&gt;=17)*'Resumen Cuadrillas'!H7)+(('Resumen Cuadrillas'!C8&lt;=17)*('Resumen Cuadrillas'!D8&gt;=17)*'Resumen Cuadrillas'!H8)+(('Resumen Cuadrillas'!C9&lt;=17)*('Resumen Cuadrillas'!D9&gt;=17)*'Resumen Cuadrillas'!H9)+(('Resumen Cuadrillas'!C10&lt;=17)*('Resumen Cuadrillas'!D10&gt;=17)*'Resumen Cuadrillas'!H10)+(('Resumen Cuadrillas'!C11&lt;=17)*('Resumen Cuadrillas'!D11&gt;=17)*'Resumen Cuadrillas'!H11)+(('Resumen Cuadrillas'!C12&lt;=17)*('Resumen Cuadrillas'!D12&gt;=17)*'Resumen Cuadrillas'!H12)+(('Resumen Cuadrillas'!C13&lt;=17)*('Resumen Cuadrillas'!D13&gt;=17)*'Resumen Cuadrillas'!H13)+(('Resumen Cuadrillas'!C14&lt;=17)*('Resumen Cuadrillas'!D14&gt;=17)*'Resumen Cuadrillas'!H14)+(('Resumen Cuadrillas'!C15&lt;=17)*('Resumen Cuadrillas'!D15&gt;=17)*'Resumen Cuadrillas'!H15)+(('Resumen Cuadrillas'!C16&lt;=17)*('Resumen Cuadrillas'!D16&gt;=17)*'Resumen Cuadrillas'!H16)+(('Resumen Cuadrillas'!C17&lt;=17)*('Resumen Cuadrillas'!D17&gt;=17)*'Resumen Cuadrillas'!H17)</f>
        <v>22</v>
      </c>
    </row>
    <row r="21" customFormat="false" ht="15" hidden="false" customHeight="false" outlineLevel="0" collapsed="false">
      <c r="A21" s="0" t="n">
        <v>18</v>
      </c>
      <c r="B21" s="0" t="n">
        <f aca="false">(('Resumen Cuadrillas'!C4&lt;=18)*('Resumen Cuadrillas'!D4&gt;=18)*'Resumen Cuadrillas'!H4)+(('Resumen Cuadrillas'!C5&lt;=18)*('Resumen Cuadrillas'!D5&gt;=18)*'Resumen Cuadrillas'!H5)+(('Resumen Cuadrillas'!C6&lt;=18)*('Resumen Cuadrillas'!D6&gt;=18)*'Resumen Cuadrillas'!H6)+(('Resumen Cuadrillas'!C7&lt;=18)*('Resumen Cuadrillas'!D7&gt;=18)*'Resumen Cuadrillas'!H7)+(('Resumen Cuadrillas'!C8&lt;=18)*('Resumen Cuadrillas'!D8&gt;=18)*'Resumen Cuadrillas'!H8)+(('Resumen Cuadrillas'!C9&lt;=18)*('Resumen Cuadrillas'!D9&gt;=18)*'Resumen Cuadrillas'!H9)+(('Resumen Cuadrillas'!C10&lt;=18)*('Resumen Cuadrillas'!D10&gt;=18)*'Resumen Cuadrillas'!H10)+(('Resumen Cuadrillas'!C11&lt;=18)*('Resumen Cuadrillas'!D11&gt;=18)*'Resumen Cuadrillas'!H11)+(('Resumen Cuadrillas'!C12&lt;=18)*('Resumen Cuadrillas'!D12&gt;=18)*'Resumen Cuadrillas'!H12)+(('Resumen Cuadrillas'!C13&lt;=18)*('Resumen Cuadrillas'!D13&gt;=18)*'Resumen Cuadrillas'!H13)+(('Resumen Cuadrillas'!C14&lt;=18)*('Resumen Cuadrillas'!D14&gt;=18)*'Resumen Cuadrillas'!H14)+(('Resumen Cuadrillas'!C15&lt;=18)*('Resumen Cuadrillas'!D15&gt;=18)*'Resumen Cuadrillas'!H15)+(('Resumen Cuadrillas'!C16&lt;=18)*('Resumen Cuadrillas'!D16&gt;=18)*'Resumen Cuadrillas'!H16)+(('Resumen Cuadrillas'!C17&lt;=18)*('Resumen Cuadrillas'!D17&gt;=18)*'Resumen Cuadrillas'!H17)</f>
        <v>24</v>
      </c>
    </row>
    <row r="22" customFormat="false" ht="15" hidden="false" customHeight="false" outlineLevel="0" collapsed="false">
      <c r="A22" s="0" t="n">
        <v>19</v>
      </c>
      <c r="B22" s="0" t="n">
        <f aca="false">(('Resumen Cuadrillas'!C4&lt;=19)*('Resumen Cuadrillas'!D4&gt;=19)*'Resumen Cuadrillas'!H4)+(('Resumen Cuadrillas'!C5&lt;=19)*('Resumen Cuadrillas'!D5&gt;=19)*'Resumen Cuadrillas'!H5)+(('Resumen Cuadrillas'!C6&lt;=19)*('Resumen Cuadrillas'!D6&gt;=19)*'Resumen Cuadrillas'!H6)+(('Resumen Cuadrillas'!C7&lt;=19)*('Resumen Cuadrillas'!D7&gt;=19)*'Resumen Cuadrillas'!H7)+(('Resumen Cuadrillas'!C8&lt;=19)*('Resumen Cuadrillas'!D8&gt;=19)*'Resumen Cuadrillas'!H8)+(('Resumen Cuadrillas'!C9&lt;=19)*('Resumen Cuadrillas'!D9&gt;=19)*'Resumen Cuadrillas'!H9)+(('Resumen Cuadrillas'!C10&lt;=19)*('Resumen Cuadrillas'!D10&gt;=19)*'Resumen Cuadrillas'!H10)+(('Resumen Cuadrillas'!C11&lt;=19)*('Resumen Cuadrillas'!D11&gt;=19)*'Resumen Cuadrillas'!H11)+(('Resumen Cuadrillas'!C12&lt;=19)*('Resumen Cuadrillas'!D12&gt;=19)*'Resumen Cuadrillas'!H12)+(('Resumen Cuadrillas'!C13&lt;=19)*('Resumen Cuadrillas'!D13&gt;=19)*'Resumen Cuadrillas'!H13)+(('Resumen Cuadrillas'!C14&lt;=19)*('Resumen Cuadrillas'!D14&gt;=19)*'Resumen Cuadrillas'!H14)+(('Resumen Cuadrillas'!C15&lt;=19)*('Resumen Cuadrillas'!D15&gt;=19)*'Resumen Cuadrillas'!H15)+(('Resumen Cuadrillas'!C16&lt;=19)*('Resumen Cuadrillas'!D16&gt;=19)*'Resumen Cuadrillas'!H16)+(('Resumen Cuadrillas'!C17&lt;=19)*('Resumen Cuadrillas'!D17&gt;=19)*'Resumen Cuadrillas'!H17)</f>
        <v>24</v>
      </c>
    </row>
    <row r="23" customFormat="false" ht="15" hidden="false" customHeight="false" outlineLevel="0" collapsed="false">
      <c r="A23" s="0" t="n">
        <v>20</v>
      </c>
      <c r="B23" s="0" t="n">
        <f aca="false">(('Resumen Cuadrillas'!C4&lt;=20)*('Resumen Cuadrillas'!D4&gt;=20)*'Resumen Cuadrillas'!H4)+(('Resumen Cuadrillas'!C5&lt;=20)*('Resumen Cuadrillas'!D5&gt;=20)*'Resumen Cuadrillas'!H5)+(('Resumen Cuadrillas'!C6&lt;=20)*('Resumen Cuadrillas'!D6&gt;=20)*'Resumen Cuadrillas'!H6)+(('Resumen Cuadrillas'!C7&lt;=20)*('Resumen Cuadrillas'!D7&gt;=20)*'Resumen Cuadrillas'!H7)+(('Resumen Cuadrillas'!C8&lt;=20)*('Resumen Cuadrillas'!D8&gt;=20)*'Resumen Cuadrillas'!H8)+(('Resumen Cuadrillas'!C9&lt;=20)*('Resumen Cuadrillas'!D9&gt;=20)*'Resumen Cuadrillas'!H9)+(('Resumen Cuadrillas'!C10&lt;=20)*('Resumen Cuadrillas'!D10&gt;=20)*'Resumen Cuadrillas'!H10)+(('Resumen Cuadrillas'!C11&lt;=20)*('Resumen Cuadrillas'!D11&gt;=20)*'Resumen Cuadrillas'!H11)+(('Resumen Cuadrillas'!C12&lt;=20)*('Resumen Cuadrillas'!D12&gt;=20)*'Resumen Cuadrillas'!H12)+(('Resumen Cuadrillas'!C13&lt;=20)*('Resumen Cuadrillas'!D13&gt;=20)*'Resumen Cuadrillas'!H13)+(('Resumen Cuadrillas'!C14&lt;=20)*('Resumen Cuadrillas'!D14&gt;=20)*'Resumen Cuadrillas'!H14)+(('Resumen Cuadrillas'!C15&lt;=20)*('Resumen Cuadrillas'!D15&gt;=20)*'Resumen Cuadrillas'!H15)+(('Resumen Cuadrillas'!C16&lt;=20)*('Resumen Cuadrillas'!D16&gt;=20)*'Resumen Cuadrillas'!H16)+(('Resumen Cuadrillas'!C17&lt;=20)*('Resumen Cuadrillas'!D17&gt;=20)*'Resumen Cuadrillas'!H17)</f>
        <v>28</v>
      </c>
    </row>
    <row r="24" customFormat="false" ht="15" hidden="false" customHeight="false" outlineLevel="0" collapsed="false">
      <c r="A24" s="0" t="n">
        <v>21</v>
      </c>
      <c r="B24" s="0" t="n">
        <f aca="false">(('Resumen Cuadrillas'!C4&lt;=21)*('Resumen Cuadrillas'!D4&gt;=21)*'Resumen Cuadrillas'!H4)+(('Resumen Cuadrillas'!C5&lt;=21)*('Resumen Cuadrillas'!D5&gt;=21)*'Resumen Cuadrillas'!H5)+(('Resumen Cuadrillas'!C6&lt;=21)*('Resumen Cuadrillas'!D6&gt;=21)*'Resumen Cuadrillas'!H6)+(('Resumen Cuadrillas'!C7&lt;=21)*('Resumen Cuadrillas'!D7&gt;=21)*'Resumen Cuadrillas'!H7)+(('Resumen Cuadrillas'!C8&lt;=21)*('Resumen Cuadrillas'!D8&gt;=21)*'Resumen Cuadrillas'!H8)+(('Resumen Cuadrillas'!C9&lt;=21)*('Resumen Cuadrillas'!D9&gt;=21)*'Resumen Cuadrillas'!H9)+(('Resumen Cuadrillas'!C10&lt;=21)*('Resumen Cuadrillas'!D10&gt;=21)*'Resumen Cuadrillas'!H10)+(('Resumen Cuadrillas'!C11&lt;=21)*('Resumen Cuadrillas'!D11&gt;=21)*'Resumen Cuadrillas'!H11)+(('Resumen Cuadrillas'!C12&lt;=21)*('Resumen Cuadrillas'!D12&gt;=21)*'Resumen Cuadrillas'!H12)+(('Resumen Cuadrillas'!C13&lt;=21)*('Resumen Cuadrillas'!D13&gt;=21)*'Resumen Cuadrillas'!H13)+(('Resumen Cuadrillas'!C14&lt;=21)*('Resumen Cuadrillas'!D14&gt;=21)*'Resumen Cuadrillas'!H14)+(('Resumen Cuadrillas'!C15&lt;=21)*('Resumen Cuadrillas'!D15&gt;=21)*'Resumen Cuadrillas'!H15)+(('Resumen Cuadrillas'!C16&lt;=21)*('Resumen Cuadrillas'!D16&gt;=21)*'Resumen Cuadrillas'!H16)+(('Resumen Cuadrillas'!C17&lt;=21)*('Resumen Cuadrillas'!D17&gt;=21)*'Resumen Cuadrillas'!H17)</f>
        <v>24</v>
      </c>
    </row>
    <row r="25" customFormat="false" ht="15" hidden="false" customHeight="false" outlineLevel="0" collapsed="false">
      <c r="A25" s="0" t="n">
        <v>22</v>
      </c>
      <c r="B25" s="0" t="n">
        <f aca="false">(('Resumen Cuadrillas'!C4&lt;=22)*('Resumen Cuadrillas'!D4&gt;=22)*'Resumen Cuadrillas'!H4)+(('Resumen Cuadrillas'!C5&lt;=22)*('Resumen Cuadrillas'!D5&gt;=22)*'Resumen Cuadrillas'!H5)+(('Resumen Cuadrillas'!C6&lt;=22)*('Resumen Cuadrillas'!D6&gt;=22)*'Resumen Cuadrillas'!H6)+(('Resumen Cuadrillas'!C7&lt;=22)*('Resumen Cuadrillas'!D7&gt;=22)*'Resumen Cuadrillas'!H7)+(('Resumen Cuadrillas'!C8&lt;=22)*('Resumen Cuadrillas'!D8&gt;=22)*'Resumen Cuadrillas'!H8)+(('Resumen Cuadrillas'!C9&lt;=22)*('Resumen Cuadrillas'!D9&gt;=22)*'Resumen Cuadrillas'!H9)+(('Resumen Cuadrillas'!C10&lt;=22)*('Resumen Cuadrillas'!D10&gt;=22)*'Resumen Cuadrillas'!H10)+(('Resumen Cuadrillas'!C11&lt;=22)*('Resumen Cuadrillas'!D11&gt;=22)*'Resumen Cuadrillas'!H11)+(('Resumen Cuadrillas'!C12&lt;=22)*('Resumen Cuadrillas'!D12&gt;=22)*'Resumen Cuadrillas'!H12)+(('Resumen Cuadrillas'!C13&lt;=22)*('Resumen Cuadrillas'!D13&gt;=22)*'Resumen Cuadrillas'!H13)+(('Resumen Cuadrillas'!C14&lt;=22)*('Resumen Cuadrillas'!D14&gt;=22)*'Resumen Cuadrillas'!H14)+(('Resumen Cuadrillas'!C15&lt;=22)*('Resumen Cuadrillas'!D15&gt;=22)*'Resumen Cuadrillas'!H15)+(('Resumen Cuadrillas'!C16&lt;=22)*('Resumen Cuadrillas'!D16&gt;=22)*'Resumen Cuadrillas'!H16)+(('Resumen Cuadrillas'!C17&lt;=22)*('Resumen Cuadrillas'!D17&gt;=22)*'Resumen Cuadrillas'!H17)</f>
        <v>24</v>
      </c>
    </row>
    <row r="26" customFormat="false" ht="15" hidden="false" customHeight="false" outlineLevel="0" collapsed="false">
      <c r="A26" s="0" t="n">
        <v>23</v>
      </c>
      <c r="B26" s="0" t="n">
        <f aca="false">(('Resumen Cuadrillas'!C4&lt;=23)*('Resumen Cuadrillas'!D4&gt;=23)*'Resumen Cuadrillas'!H4)+(('Resumen Cuadrillas'!C5&lt;=23)*('Resumen Cuadrillas'!D5&gt;=23)*'Resumen Cuadrillas'!H5)+(('Resumen Cuadrillas'!C6&lt;=23)*('Resumen Cuadrillas'!D6&gt;=23)*'Resumen Cuadrillas'!H6)+(('Resumen Cuadrillas'!C7&lt;=23)*('Resumen Cuadrillas'!D7&gt;=23)*'Resumen Cuadrillas'!H7)+(('Resumen Cuadrillas'!C8&lt;=23)*('Resumen Cuadrillas'!D8&gt;=23)*'Resumen Cuadrillas'!H8)+(('Resumen Cuadrillas'!C9&lt;=23)*('Resumen Cuadrillas'!D9&gt;=23)*'Resumen Cuadrillas'!H9)+(('Resumen Cuadrillas'!C10&lt;=23)*('Resumen Cuadrillas'!D10&gt;=23)*'Resumen Cuadrillas'!H10)+(('Resumen Cuadrillas'!C11&lt;=23)*('Resumen Cuadrillas'!D11&gt;=23)*'Resumen Cuadrillas'!H11)+(('Resumen Cuadrillas'!C12&lt;=23)*('Resumen Cuadrillas'!D12&gt;=23)*'Resumen Cuadrillas'!H12)+(('Resumen Cuadrillas'!C13&lt;=23)*('Resumen Cuadrillas'!D13&gt;=23)*'Resumen Cuadrillas'!H13)+(('Resumen Cuadrillas'!C14&lt;=23)*('Resumen Cuadrillas'!D14&gt;=23)*'Resumen Cuadrillas'!H14)+(('Resumen Cuadrillas'!C15&lt;=23)*('Resumen Cuadrillas'!D15&gt;=23)*'Resumen Cuadrillas'!H15)+(('Resumen Cuadrillas'!C16&lt;=23)*('Resumen Cuadrillas'!D16&gt;=23)*'Resumen Cuadrillas'!H16)+(('Resumen Cuadrillas'!C17&lt;=23)*('Resumen Cuadrillas'!D17&gt;=23)*'Resumen Cuadrillas'!H17)</f>
        <v>21</v>
      </c>
    </row>
    <row r="27" customFormat="false" ht="15" hidden="false" customHeight="false" outlineLevel="0" collapsed="false">
      <c r="A27" s="0" t="n">
        <v>24</v>
      </c>
      <c r="B27" s="0" t="n">
        <f aca="false">(('Resumen Cuadrillas'!C4&lt;=24)*('Resumen Cuadrillas'!D4&gt;=24)*'Resumen Cuadrillas'!H4)+(('Resumen Cuadrillas'!C5&lt;=24)*('Resumen Cuadrillas'!D5&gt;=24)*'Resumen Cuadrillas'!H5)+(('Resumen Cuadrillas'!C6&lt;=24)*('Resumen Cuadrillas'!D6&gt;=24)*'Resumen Cuadrillas'!H6)+(('Resumen Cuadrillas'!C7&lt;=24)*('Resumen Cuadrillas'!D7&gt;=24)*'Resumen Cuadrillas'!H7)+(('Resumen Cuadrillas'!C8&lt;=24)*('Resumen Cuadrillas'!D8&gt;=24)*'Resumen Cuadrillas'!H8)+(('Resumen Cuadrillas'!C9&lt;=24)*('Resumen Cuadrillas'!D9&gt;=24)*'Resumen Cuadrillas'!H9)+(('Resumen Cuadrillas'!C10&lt;=24)*('Resumen Cuadrillas'!D10&gt;=24)*'Resumen Cuadrillas'!H10)+(('Resumen Cuadrillas'!C11&lt;=24)*('Resumen Cuadrillas'!D11&gt;=24)*'Resumen Cuadrillas'!H11)+(('Resumen Cuadrillas'!C12&lt;=24)*('Resumen Cuadrillas'!D12&gt;=24)*'Resumen Cuadrillas'!H12)+(('Resumen Cuadrillas'!C13&lt;=24)*('Resumen Cuadrillas'!D13&gt;=24)*'Resumen Cuadrillas'!H13)+(('Resumen Cuadrillas'!C14&lt;=24)*('Resumen Cuadrillas'!D14&gt;=24)*'Resumen Cuadrillas'!H14)+(('Resumen Cuadrillas'!C15&lt;=24)*('Resumen Cuadrillas'!D15&gt;=24)*'Resumen Cuadrillas'!H15)+(('Resumen Cuadrillas'!C16&lt;=24)*('Resumen Cuadrillas'!D16&gt;=24)*'Resumen Cuadrillas'!H16)+(('Resumen Cuadrillas'!C17&lt;=24)*('Resumen Cuadrillas'!D17&gt;=24)*'Resumen Cuadrillas'!H17)</f>
        <v>21</v>
      </c>
    </row>
    <row r="28" customFormat="false" ht="15" hidden="false" customHeight="false" outlineLevel="0" collapsed="false">
      <c r="A28" s="0" t="n">
        <v>25</v>
      </c>
      <c r="B28" s="0" t="n">
        <f aca="false">(('Resumen Cuadrillas'!C4&lt;=25)*('Resumen Cuadrillas'!D4&gt;=25)*'Resumen Cuadrillas'!H4)+(('Resumen Cuadrillas'!C5&lt;=25)*('Resumen Cuadrillas'!D5&gt;=25)*'Resumen Cuadrillas'!H5)+(('Resumen Cuadrillas'!C6&lt;=25)*('Resumen Cuadrillas'!D6&gt;=25)*'Resumen Cuadrillas'!H6)+(('Resumen Cuadrillas'!C7&lt;=25)*('Resumen Cuadrillas'!D7&gt;=25)*'Resumen Cuadrillas'!H7)+(('Resumen Cuadrillas'!C8&lt;=25)*('Resumen Cuadrillas'!D8&gt;=25)*'Resumen Cuadrillas'!H8)+(('Resumen Cuadrillas'!C9&lt;=25)*('Resumen Cuadrillas'!D9&gt;=25)*'Resumen Cuadrillas'!H9)+(('Resumen Cuadrillas'!C10&lt;=25)*('Resumen Cuadrillas'!D10&gt;=25)*'Resumen Cuadrillas'!H10)+(('Resumen Cuadrillas'!C11&lt;=25)*('Resumen Cuadrillas'!D11&gt;=25)*'Resumen Cuadrillas'!H11)+(('Resumen Cuadrillas'!C12&lt;=25)*('Resumen Cuadrillas'!D12&gt;=25)*'Resumen Cuadrillas'!H12)+(('Resumen Cuadrillas'!C13&lt;=25)*('Resumen Cuadrillas'!D13&gt;=25)*'Resumen Cuadrillas'!H13)+(('Resumen Cuadrillas'!C14&lt;=25)*('Resumen Cuadrillas'!D14&gt;=25)*'Resumen Cuadrillas'!H14)+(('Resumen Cuadrillas'!C15&lt;=25)*('Resumen Cuadrillas'!D15&gt;=25)*'Resumen Cuadrillas'!H15)+(('Resumen Cuadrillas'!C16&lt;=25)*('Resumen Cuadrillas'!D16&gt;=25)*'Resumen Cuadrillas'!H16)+(('Resumen Cuadrillas'!C17&lt;=25)*('Resumen Cuadrillas'!D17&gt;=25)*'Resumen Cuadrillas'!H17)</f>
        <v>21</v>
      </c>
    </row>
    <row r="29" customFormat="false" ht="15" hidden="false" customHeight="false" outlineLevel="0" collapsed="false">
      <c r="A29" s="0" t="n">
        <v>26</v>
      </c>
      <c r="B29" s="0" t="n">
        <f aca="false">(('Resumen Cuadrillas'!C4&lt;=26)*('Resumen Cuadrillas'!D4&gt;=26)*'Resumen Cuadrillas'!H4)+(('Resumen Cuadrillas'!C5&lt;=26)*('Resumen Cuadrillas'!D5&gt;=26)*'Resumen Cuadrillas'!H5)+(('Resumen Cuadrillas'!C6&lt;=26)*('Resumen Cuadrillas'!D6&gt;=26)*'Resumen Cuadrillas'!H6)+(('Resumen Cuadrillas'!C7&lt;=26)*('Resumen Cuadrillas'!D7&gt;=26)*'Resumen Cuadrillas'!H7)+(('Resumen Cuadrillas'!C8&lt;=26)*('Resumen Cuadrillas'!D8&gt;=26)*'Resumen Cuadrillas'!H8)+(('Resumen Cuadrillas'!C9&lt;=26)*('Resumen Cuadrillas'!D9&gt;=26)*'Resumen Cuadrillas'!H9)+(('Resumen Cuadrillas'!C10&lt;=26)*('Resumen Cuadrillas'!D10&gt;=26)*'Resumen Cuadrillas'!H10)+(('Resumen Cuadrillas'!C11&lt;=26)*('Resumen Cuadrillas'!D11&gt;=26)*'Resumen Cuadrillas'!H11)+(('Resumen Cuadrillas'!C12&lt;=26)*('Resumen Cuadrillas'!D12&gt;=26)*'Resumen Cuadrillas'!H12)+(('Resumen Cuadrillas'!C13&lt;=26)*('Resumen Cuadrillas'!D13&gt;=26)*'Resumen Cuadrillas'!H13)+(('Resumen Cuadrillas'!C14&lt;=26)*('Resumen Cuadrillas'!D14&gt;=26)*'Resumen Cuadrillas'!H14)+(('Resumen Cuadrillas'!C15&lt;=26)*('Resumen Cuadrillas'!D15&gt;=26)*'Resumen Cuadrillas'!H15)+(('Resumen Cuadrillas'!C16&lt;=26)*('Resumen Cuadrillas'!D16&gt;=26)*'Resumen Cuadrillas'!H16)+(('Resumen Cuadrillas'!C17&lt;=26)*('Resumen Cuadrillas'!D17&gt;=26)*'Resumen Cuadrillas'!H17)</f>
        <v>25</v>
      </c>
    </row>
    <row r="30" customFormat="false" ht="15" hidden="false" customHeight="false" outlineLevel="0" collapsed="false">
      <c r="A30" s="0" t="n">
        <v>27</v>
      </c>
      <c r="B30" s="0" t="n">
        <f aca="false">(('Resumen Cuadrillas'!C4&lt;=27)*('Resumen Cuadrillas'!D4&gt;=27)*'Resumen Cuadrillas'!H4)+(('Resumen Cuadrillas'!C5&lt;=27)*('Resumen Cuadrillas'!D5&gt;=27)*'Resumen Cuadrillas'!H5)+(('Resumen Cuadrillas'!C6&lt;=27)*('Resumen Cuadrillas'!D6&gt;=27)*'Resumen Cuadrillas'!H6)+(('Resumen Cuadrillas'!C7&lt;=27)*('Resumen Cuadrillas'!D7&gt;=27)*'Resumen Cuadrillas'!H7)+(('Resumen Cuadrillas'!C8&lt;=27)*('Resumen Cuadrillas'!D8&gt;=27)*'Resumen Cuadrillas'!H8)+(('Resumen Cuadrillas'!C9&lt;=27)*('Resumen Cuadrillas'!D9&gt;=27)*'Resumen Cuadrillas'!H9)+(('Resumen Cuadrillas'!C10&lt;=27)*('Resumen Cuadrillas'!D10&gt;=27)*'Resumen Cuadrillas'!H10)+(('Resumen Cuadrillas'!C11&lt;=27)*('Resumen Cuadrillas'!D11&gt;=27)*'Resumen Cuadrillas'!H11)+(('Resumen Cuadrillas'!C12&lt;=27)*('Resumen Cuadrillas'!D12&gt;=27)*'Resumen Cuadrillas'!H12)+(('Resumen Cuadrillas'!C13&lt;=27)*('Resumen Cuadrillas'!D13&gt;=27)*'Resumen Cuadrillas'!H13)+(('Resumen Cuadrillas'!C14&lt;=27)*('Resumen Cuadrillas'!D14&gt;=27)*'Resumen Cuadrillas'!H14)+(('Resumen Cuadrillas'!C15&lt;=27)*('Resumen Cuadrillas'!D15&gt;=27)*'Resumen Cuadrillas'!H15)+(('Resumen Cuadrillas'!C16&lt;=27)*('Resumen Cuadrillas'!D16&gt;=27)*'Resumen Cuadrillas'!H16)+(('Resumen Cuadrillas'!C17&lt;=27)*('Resumen Cuadrillas'!D17&gt;=27)*'Resumen Cuadrillas'!H17)</f>
        <v>19</v>
      </c>
    </row>
    <row r="31" customFormat="false" ht="15" hidden="false" customHeight="false" outlineLevel="0" collapsed="false">
      <c r="A31" s="0" t="n">
        <v>28</v>
      </c>
      <c r="B31" s="0" t="n">
        <f aca="false">(('Resumen Cuadrillas'!C4&lt;=28)*('Resumen Cuadrillas'!D4&gt;=28)*'Resumen Cuadrillas'!H4)+(('Resumen Cuadrillas'!C5&lt;=28)*('Resumen Cuadrillas'!D5&gt;=28)*'Resumen Cuadrillas'!H5)+(('Resumen Cuadrillas'!C6&lt;=28)*('Resumen Cuadrillas'!D6&gt;=28)*'Resumen Cuadrillas'!H6)+(('Resumen Cuadrillas'!C7&lt;=28)*('Resumen Cuadrillas'!D7&gt;=28)*'Resumen Cuadrillas'!H7)+(('Resumen Cuadrillas'!C8&lt;=28)*('Resumen Cuadrillas'!D8&gt;=28)*'Resumen Cuadrillas'!H8)+(('Resumen Cuadrillas'!C9&lt;=28)*('Resumen Cuadrillas'!D9&gt;=28)*'Resumen Cuadrillas'!H9)+(('Resumen Cuadrillas'!C10&lt;=28)*('Resumen Cuadrillas'!D10&gt;=28)*'Resumen Cuadrillas'!H10)+(('Resumen Cuadrillas'!C11&lt;=28)*('Resumen Cuadrillas'!D11&gt;=28)*'Resumen Cuadrillas'!H11)+(('Resumen Cuadrillas'!C12&lt;=28)*('Resumen Cuadrillas'!D12&gt;=28)*'Resumen Cuadrillas'!H12)+(('Resumen Cuadrillas'!C13&lt;=28)*('Resumen Cuadrillas'!D13&gt;=28)*'Resumen Cuadrillas'!H13)+(('Resumen Cuadrillas'!C14&lt;=28)*('Resumen Cuadrillas'!D14&gt;=28)*'Resumen Cuadrillas'!H14)+(('Resumen Cuadrillas'!C15&lt;=28)*('Resumen Cuadrillas'!D15&gt;=28)*'Resumen Cuadrillas'!H15)+(('Resumen Cuadrillas'!C16&lt;=28)*('Resumen Cuadrillas'!D16&gt;=28)*'Resumen Cuadrillas'!H16)+(('Resumen Cuadrillas'!C17&lt;=28)*('Resumen Cuadrillas'!D17&gt;=28)*'Resumen Cuadrillas'!H17)</f>
        <v>19</v>
      </c>
    </row>
    <row r="32" customFormat="false" ht="15" hidden="false" customHeight="false" outlineLevel="0" collapsed="false">
      <c r="A32" s="0" t="n">
        <v>29</v>
      </c>
      <c r="B32" s="0" t="n">
        <f aca="false">(('Resumen Cuadrillas'!C4&lt;=29)*('Resumen Cuadrillas'!D4&gt;=29)*'Resumen Cuadrillas'!H4)+(('Resumen Cuadrillas'!C5&lt;=29)*('Resumen Cuadrillas'!D5&gt;=29)*'Resumen Cuadrillas'!H5)+(('Resumen Cuadrillas'!C6&lt;=29)*('Resumen Cuadrillas'!D6&gt;=29)*'Resumen Cuadrillas'!H6)+(('Resumen Cuadrillas'!C7&lt;=29)*('Resumen Cuadrillas'!D7&gt;=29)*'Resumen Cuadrillas'!H7)+(('Resumen Cuadrillas'!C8&lt;=29)*('Resumen Cuadrillas'!D8&gt;=29)*'Resumen Cuadrillas'!H8)+(('Resumen Cuadrillas'!C9&lt;=29)*('Resumen Cuadrillas'!D9&gt;=29)*'Resumen Cuadrillas'!H9)+(('Resumen Cuadrillas'!C10&lt;=29)*('Resumen Cuadrillas'!D10&gt;=29)*'Resumen Cuadrillas'!H10)+(('Resumen Cuadrillas'!C11&lt;=29)*('Resumen Cuadrillas'!D11&gt;=29)*'Resumen Cuadrillas'!H11)+(('Resumen Cuadrillas'!C12&lt;=29)*('Resumen Cuadrillas'!D12&gt;=29)*'Resumen Cuadrillas'!H12)+(('Resumen Cuadrillas'!C13&lt;=29)*('Resumen Cuadrillas'!D13&gt;=29)*'Resumen Cuadrillas'!H13)+(('Resumen Cuadrillas'!C14&lt;=29)*('Resumen Cuadrillas'!D14&gt;=29)*'Resumen Cuadrillas'!H14)+(('Resumen Cuadrillas'!C15&lt;=29)*('Resumen Cuadrillas'!D15&gt;=29)*'Resumen Cuadrillas'!H15)+(('Resumen Cuadrillas'!C16&lt;=29)*('Resumen Cuadrillas'!D16&gt;=29)*'Resumen Cuadrillas'!H16)+(('Resumen Cuadrillas'!C17&lt;=29)*('Resumen Cuadrillas'!D17&gt;=29)*'Resumen Cuadrillas'!H17)</f>
        <v>17</v>
      </c>
    </row>
    <row r="33" customFormat="false" ht="15" hidden="false" customHeight="false" outlineLevel="0" collapsed="false">
      <c r="A33" s="0" t="n">
        <v>30</v>
      </c>
      <c r="B33" s="0" t="n">
        <f aca="false">(('Resumen Cuadrillas'!C4&lt;=30)*('Resumen Cuadrillas'!D4&gt;=30)*'Resumen Cuadrillas'!H4)+(('Resumen Cuadrillas'!C5&lt;=30)*('Resumen Cuadrillas'!D5&gt;=30)*'Resumen Cuadrillas'!H5)+(('Resumen Cuadrillas'!C6&lt;=30)*('Resumen Cuadrillas'!D6&gt;=30)*'Resumen Cuadrillas'!H6)+(('Resumen Cuadrillas'!C7&lt;=30)*('Resumen Cuadrillas'!D7&gt;=30)*'Resumen Cuadrillas'!H7)+(('Resumen Cuadrillas'!C8&lt;=30)*('Resumen Cuadrillas'!D8&gt;=30)*'Resumen Cuadrillas'!H8)+(('Resumen Cuadrillas'!C9&lt;=30)*('Resumen Cuadrillas'!D9&gt;=30)*'Resumen Cuadrillas'!H9)+(('Resumen Cuadrillas'!C10&lt;=30)*('Resumen Cuadrillas'!D10&gt;=30)*'Resumen Cuadrillas'!H10)+(('Resumen Cuadrillas'!C11&lt;=30)*('Resumen Cuadrillas'!D11&gt;=30)*'Resumen Cuadrillas'!H11)+(('Resumen Cuadrillas'!C12&lt;=30)*('Resumen Cuadrillas'!D12&gt;=30)*'Resumen Cuadrillas'!H12)+(('Resumen Cuadrillas'!C13&lt;=30)*('Resumen Cuadrillas'!D13&gt;=30)*'Resumen Cuadrillas'!H13)+(('Resumen Cuadrillas'!C14&lt;=30)*('Resumen Cuadrillas'!D14&gt;=30)*'Resumen Cuadrillas'!H14)+(('Resumen Cuadrillas'!C15&lt;=30)*('Resumen Cuadrillas'!D15&gt;=30)*'Resumen Cuadrillas'!H15)+(('Resumen Cuadrillas'!C16&lt;=30)*('Resumen Cuadrillas'!D16&gt;=30)*'Resumen Cuadrillas'!H16)+(('Resumen Cuadrillas'!C17&lt;=30)*('Resumen Cuadrillas'!D17&gt;=30)*'Resumen Cuadrillas'!H17)</f>
        <v>17</v>
      </c>
    </row>
    <row r="34" customFormat="false" ht="15" hidden="false" customHeight="false" outlineLevel="0" collapsed="false">
      <c r="A34" s="0" t="n">
        <v>31</v>
      </c>
      <c r="B34" s="0" t="n">
        <f aca="false">(('Resumen Cuadrillas'!C4&lt;=31)*('Resumen Cuadrillas'!D4&gt;=31)*'Resumen Cuadrillas'!H4)+(('Resumen Cuadrillas'!C5&lt;=31)*('Resumen Cuadrillas'!D5&gt;=31)*'Resumen Cuadrillas'!H5)+(('Resumen Cuadrillas'!C6&lt;=31)*('Resumen Cuadrillas'!D6&gt;=31)*'Resumen Cuadrillas'!H6)+(('Resumen Cuadrillas'!C7&lt;=31)*('Resumen Cuadrillas'!D7&gt;=31)*'Resumen Cuadrillas'!H7)+(('Resumen Cuadrillas'!C8&lt;=31)*('Resumen Cuadrillas'!D8&gt;=31)*'Resumen Cuadrillas'!H8)+(('Resumen Cuadrillas'!C9&lt;=31)*('Resumen Cuadrillas'!D9&gt;=31)*'Resumen Cuadrillas'!H9)+(('Resumen Cuadrillas'!C10&lt;=31)*('Resumen Cuadrillas'!D10&gt;=31)*'Resumen Cuadrillas'!H10)+(('Resumen Cuadrillas'!C11&lt;=31)*('Resumen Cuadrillas'!D11&gt;=31)*'Resumen Cuadrillas'!H11)+(('Resumen Cuadrillas'!C12&lt;=31)*('Resumen Cuadrillas'!D12&gt;=31)*'Resumen Cuadrillas'!H12)+(('Resumen Cuadrillas'!C13&lt;=31)*('Resumen Cuadrillas'!D13&gt;=31)*'Resumen Cuadrillas'!H13)+(('Resumen Cuadrillas'!C14&lt;=31)*('Resumen Cuadrillas'!D14&gt;=31)*'Resumen Cuadrillas'!H14)+(('Resumen Cuadrillas'!C15&lt;=31)*('Resumen Cuadrillas'!D15&gt;=31)*'Resumen Cuadrillas'!H15)+(('Resumen Cuadrillas'!C16&lt;=31)*('Resumen Cuadrillas'!D16&gt;=31)*'Resumen Cuadrillas'!H16)+(('Resumen Cuadrillas'!C17&lt;=31)*('Resumen Cuadrillas'!D17&gt;=31)*'Resumen Cuadrillas'!H17)</f>
        <v>9</v>
      </c>
    </row>
    <row r="35" customFormat="false" ht="15" hidden="false" customHeight="false" outlineLevel="0" collapsed="false">
      <c r="A35" s="0" t="n">
        <v>32</v>
      </c>
      <c r="B35" s="0" t="n">
        <f aca="false">(('Resumen Cuadrillas'!C4&lt;=32)*('Resumen Cuadrillas'!D4&gt;=32)*'Resumen Cuadrillas'!H4)+(('Resumen Cuadrillas'!C5&lt;=32)*('Resumen Cuadrillas'!D5&gt;=32)*'Resumen Cuadrillas'!H5)+(('Resumen Cuadrillas'!C6&lt;=32)*('Resumen Cuadrillas'!D6&gt;=32)*'Resumen Cuadrillas'!H6)+(('Resumen Cuadrillas'!C7&lt;=32)*('Resumen Cuadrillas'!D7&gt;=32)*'Resumen Cuadrillas'!H7)+(('Resumen Cuadrillas'!C8&lt;=32)*('Resumen Cuadrillas'!D8&gt;=32)*'Resumen Cuadrillas'!H8)+(('Resumen Cuadrillas'!C9&lt;=32)*('Resumen Cuadrillas'!D9&gt;=32)*'Resumen Cuadrillas'!H9)+(('Resumen Cuadrillas'!C10&lt;=32)*('Resumen Cuadrillas'!D10&gt;=32)*'Resumen Cuadrillas'!H10)+(('Resumen Cuadrillas'!C11&lt;=32)*('Resumen Cuadrillas'!D11&gt;=32)*'Resumen Cuadrillas'!H11)+(('Resumen Cuadrillas'!C12&lt;=32)*('Resumen Cuadrillas'!D12&gt;=32)*'Resumen Cuadrillas'!H12)+(('Resumen Cuadrillas'!C13&lt;=32)*('Resumen Cuadrillas'!D13&gt;=32)*'Resumen Cuadrillas'!H13)+(('Resumen Cuadrillas'!C14&lt;=32)*('Resumen Cuadrillas'!D14&gt;=32)*'Resumen Cuadrillas'!H14)+(('Resumen Cuadrillas'!C15&lt;=32)*('Resumen Cuadrillas'!D15&gt;=32)*'Resumen Cuadrillas'!H15)+(('Resumen Cuadrillas'!C16&lt;=32)*('Resumen Cuadrillas'!D16&gt;=32)*'Resumen Cuadrillas'!H16)+(('Resumen Cuadrillas'!C17&lt;=32)*('Resumen Cuadrillas'!D17&gt;=32)*'Resumen Cuadrillas'!H17)</f>
        <v>9</v>
      </c>
    </row>
    <row r="36" customFormat="false" ht="15" hidden="false" customHeight="false" outlineLevel="0" collapsed="false">
      <c r="A36" s="0" t="n">
        <v>33</v>
      </c>
      <c r="B36" s="0" t="n">
        <f aca="false">(('Resumen Cuadrillas'!C4&lt;=33)*('Resumen Cuadrillas'!D4&gt;=33)*'Resumen Cuadrillas'!H4)+(('Resumen Cuadrillas'!C5&lt;=33)*('Resumen Cuadrillas'!D5&gt;=33)*'Resumen Cuadrillas'!H5)+(('Resumen Cuadrillas'!C6&lt;=33)*('Resumen Cuadrillas'!D6&gt;=33)*'Resumen Cuadrillas'!H6)+(('Resumen Cuadrillas'!C7&lt;=33)*('Resumen Cuadrillas'!D7&gt;=33)*'Resumen Cuadrillas'!H7)+(('Resumen Cuadrillas'!C8&lt;=33)*('Resumen Cuadrillas'!D8&gt;=33)*'Resumen Cuadrillas'!H8)+(('Resumen Cuadrillas'!C9&lt;=33)*('Resumen Cuadrillas'!D9&gt;=33)*'Resumen Cuadrillas'!H9)+(('Resumen Cuadrillas'!C10&lt;=33)*('Resumen Cuadrillas'!D10&gt;=33)*'Resumen Cuadrillas'!H10)+(('Resumen Cuadrillas'!C11&lt;=33)*('Resumen Cuadrillas'!D11&gt;=33)*'Resumen Cuadrillas'!H11)+(('Resumen Cuadrillas'!C12&lt;=33)*('Resumen Cuadrillas'!D12&gt;=33)*'Resumen Cuadrillas'!H12)+(('Resumen Cuadrillas'!C13&lt;=33)*('Resumen Cuadrillas'!D13&gt;=33)*'Resumen Cuadrillas'!H13)+(('Resumen Cuadrillas'!C14&lt;=33)*('Resumen Cuadrillas'!D14&gt;=33)*'Resumen Cuadrillas'!H14)+(('Resumen Cuadrillas'!C15&lt;=33)*('Resumen Cuadrillas'!D15&gt;=33)*'Resumen Cuadrillas'!H15)+(('Resumen Cuadrillas'!C16&lt;=33)*('Resumen Cuadrillas'!D16&gt;=33)*'Resumen Cuadrillas'!H16)+(('Resumen Cuadrillas'!C17&lt;=33)*('Resumen Cuadrillas'!D17&gt;=33)*'Resumen Cuadrillas'!H17)</f>
        <v>9</v>
      </c>
    </row>
    <row r="37" customFormat="false" ht="15" hidden="false" customHeight="false" outlineLevel="0" collapsed="false">
      <c r="A37" s="0" t="n">
        <v>34</v>
      </c>
      <c r="B37" s="0" t="n">
        <f aca="false">(('Resumen Cuadrillas'!C4&lt;=34)*('Resumen Cuadrillas'!D4&gt;=34)*'Resumen Cuadrillas'!H4)+(('Resumen Cuadrillas'!C5&lt;=34)*('Resumen Cuadrillas'!D5&gt;=34)*'Resumen Cuadrillas'!H5)+(('Resumen Cuadrillas'!C6&lt;=34)*('Resumen Cuadrillas'!D6&gt;=34)*'Resumen Cuadrillas'!H6)+(('Resumen Cuadrillas'!C7&lt;=34)*('Resumen Cuadrillas'!D7&gt;=34)*'Resumen Cuadrillas'!H7)+(('Resumen Cuadrillas'!C8&lt;=34)*('Resumen Cuadrillas'!D8&gt;=34)*'Resumen Cuadrillas'!H8)+(('Resumen Cuadrillas'!C9&lt;=34)*('Resumen Cuadrillas'!D9&gt;=34)*'Resumen Cuadrillas'!H9)+(('Resumen Cuadrillas'!C10&lt;=34)*('Resumen Cuadrillas'!D10&gt;=34)*'Resumen Cuadrillas'!H10)+(('Resumen Cuadrillas'!C11&lt;=34)*('Resumen Cuadrillas'!D11&gt;=34)*'Resumen Cuadrillas'!H11)+(('Resumen Cuadrillas'!C12&lt;=34)*('Resumen Cuadrillas'!D12&gt;=34)*'Resumen Cuadrillas'!H12)+(('Resumen Cuadrillas'!C13&lt;=34)*('Resumen Cuadrillas'!D13&gt;=34)*'Resumen Cuadrillas'!H13)+(('Resumen Cuadrillas'!C14&lt;=34)*('Resumen Cuadrillas'!D14&gt;=34)*'Resumen Cuadrillas'!H14)+(('Resumen Cuadrillas'!C15&lt;=34)*('Resumen Cuadrillas'!D15&gt;=34)*'Resumen Cuadrillas'!H15)+(('Resumen Cuadrillas'!C16&lt;=34)*('Resumen Cuadrillas'!D16&gt;=34)*'Resumen Cuadrillas'!H16)+(('Resumen Cuadrillas'!C17&lt;=34)*('Resumen Cuadrillas'!D17&gt;=34)*'Resumen Cuadrillas'!H17)</f>
        <v>11</v>
      </c>
    </row>
    <row r="38" customFormat="false" ht="15" hidden="false" customHeight="false" outlineLevel="0" collapsed="false">
      <c r="A38" s="0" t="n">
        <v>35</v>
      </c>
      <c r="B38" s="0" t="n">
        <f aca="false">(('Resumen Cuadrillas'!C4&lt;=35)*('Resumen Cuadrillas'!D4&gt;=35)*'Resumen Cuadrillas'!H4)+(('Resumen Cuadrillas'!C5&lt;=35)*('Resumen Cuadrillas'!D5&gt;=35)*'Resumen Cuadrillas'!H5)+(('Resumen Cuadrillas'!C6&lt;=35)*('Resumen Cuadrillas'!D6&gt;=35)*'Resumen Cuadrillas'!H6)+(('Resumen Cuadrillas'!C7&lt;=35)*('Resumen Cuadrillas'!D7&gt;=35)*'Resumen Cuadrillas'!H7)+(('Resumen Cuadrillas'!C8&lt;=35)*('Resumen Cuadrillas'!D8&gt;=35)*'Resumen Cuadrillas'!H8)+(('Resumen Cuadrillas'!C9&lt;=35)*('Resumen Cuadrillas'!D9&gt;=35)*'Resumen Cuadrillas'!H9)+(('Resumen Cuadrillas'!C10&lt;=35)*('Resumen Cuadrillas'!D10&gt;=35)*'Resumen Cuadrillas'!H10)+(('Resumen Cuadrillas'!C11&lt;=35)*('Resumen Cuadrillas'!D11&gt;=35)*'Resumen Cuadrillas'!H11)+(('Resumen Cuadrillas'!C12&lt;=35)*('Resumen Cuadrillas'!D12&gt;=35)*'Resumen Cuadrillas'!H12)+(('Resumen Cuadrillas'!C13&lt;=35)*('Resumen Cuadrillas'!D13&gt;=35)*'Resumen Cuadrillas'!H13)+(('Resumen Cuadrillas'!C14&lt;=35)*('Resumen Cuadrillas'!D14&gt;=35)*'Resumen Cuadrillas'!H14)+(('Resumen Cuadrillas'!C15&lt;=35)*('Resumen Cuadrillas'!D15&gt;=35)*'Resumen Cuadrillas'!H15)+(('Resumen Cuadrillas'!C16&lt;=35)*('Resumen Cuadrillas'!D16&gt;=35)*'Resumen Cuadrillas'!H16)+(('Resumen Cuadrillas'!C17&lt;=35)*('Resumen Cuadrillas'!D17&gt;=35)*'Resumen Cuadrillas'!H17)</f>
        <v>7</v>
      </c>
    </row>
    <row r="39" customFormat="false" ht="15" hidden="false" customHeight="false" outlineLevel="0" collapsed="false">
      <c r="A39" s="0" t="n">
        <v>36</v>
      </c>
      <c r="B39" s="0" t="n">
        <f aca="false">(('Resumen Cuadrillas'!C4&lt;=36)*('Resumen Cuadrillas'!D4&gt;=36)*'Resumen Cuadrillas'!H4)+(('Resumen Cuadrillas'!C5&lt;=36)*('Resumen Cuadrillas'!D5&gt;=36)*'Resumen Cuadrillas'!H5)+(('Resumen Cuadrillas'!C6&lt;=36)*('Resumen Cuadrillas'!D6&gt;=36)*'Resumen Cuadrillas'!H6)+(('Resumen Cuadrillas'!C7&lt;=36)*('Resumen Cuadrillas'!D7&gt;=36)*'Resumen Cuadrillas'!H7)+(('Resumen Cuadrillas'!C8&lt;=36)*('Resumen Cuadrillas'!D8&gt;=36)*'Resumen Cuadrillas'!H8)+(('Resumen Cuadrillas'!C9&lt;=36)*('Resumen Cuadrillas'!D9&gt;=36)*'Resumen Cuadrillas'!H9)+(('Resumen Cuadrillas'!C10&lt;=36)*('Resumen Cuadrillas'!D10&gt;=36)*'Resumen Cuadrillas'!H10)+(('Resumen Cuadrillas'!C11&lt;=36)*('Resumen Cuadrillas'!D11&gt;=36)*'Resumen Cuadrillas'!H11)+(('Resumen Cuadrillas'!C12&lt;=36)*('Resumen Cuadrillas'!D12&gt;=36)*'Resumen Cuadrillas'!H12)+(('Resumen Cuadrillas'!C13&lt;=36)*('Resumen Cuadrillas'!D13&gt;=36)*'Resumen Cuadrillas'!H13)+(('Resumen Cuadrillas'!C14&lt;=36)*('Resumen Cuadrillas'!D14&gt;=36)*'Resumen Cuadrillas'!H14)+(('Resumen Cuadrillas'!C15&lt;=36)*('Resumen Cuadrillas'!D15&gt;=36)*'Resumen Cuadrillas'!H15)+(('Resumen Cuadrillas'!C16&lt;=36)*('Resumen Cuadrillas'!D16&gt;=36)*'Resumen Cuadrillas'!H16)+(('Resumen Cuadrillas'!C17&lt;=36)*('Resumen Cuadrillas'!D17&gt;=36)*'Resumen Cuadrillas'!H17)</f>
        <v>7</v>
      </c>
    </row>
    <row r="40" customFormat="false" ht="15" hidden="false" customHeight="false" outlineLevel="0" collapsed="false">
      <c r="A40" s="0" t="n">
        <v>37</v>
      </c>
      <c r="B40" s="0" t="n">
        <f aca="false">(('Resumen Cuadrillas'!C4&lt;=37)*('Resumen Cuadrillas'!D4&gt;=37)*'Resumen Cuadrillas'!H4)+(('Resumen Cuadrillas'!C5&lt;=37)*('Resumen Cuadrillas'!D5&gt;=37)*'Resumen Cuadrillas'!H5)+(('Resumen Cuadrillas'!C6&lt;=37)*('Resumen Cuadrillas'!D6&gt;=37)*'Resumen Cuadrillas'!H6)+(('Resumen Cuadrillas'!C7&lt;=37)*('Resumen Cuadrillas'!D7&gt;=37)*'Resumen Cuadrillas'!H7)+(('Resumen Cuadrillas'!C8&lt;=37)*('Resumen Cuadrillas'!D8&gt;=37)*'Resumen Cuadrillas'!H8)+(('Resumen Cuadrillas'!C9&lt;=37)*('Resumen Cuadrillas'!D9&gt;=37)*'Resumen Cuadrillas'!H9)+(('Resumen Cuadrillas'!C10&lt;=37)*('Resumen Cuadrillas'!D10&gt;=37)*'Resumen Cuadrillas'!H10)+(('Resumen Cuadrillas'!C11&lt;=37)*('Resumen Cuadrillas'!D11&gt;=37)*'Resumen Cuadrillas'!H11)+(('Resumen Cuadrillas'!C12&lt;=37)*('Resumen Cuadrillas'!D12&gt;=37)*'Resumen Cuadrillas'!H12)+(('Resumen Cuadrillas'!C13&lt;=37)*('Resumen Cuadrillas'!D13&gt;=37)*'Resumen Cuadrillas'!H13)+(('Resumen Cuadrillas'!C14&lt;=37)*('Resumen Cuadrillas'!D14&gt;=37)*'Resumen Cuadrillas'!H14)+(('Resumen Cuadrillas'!C15&lt;=37)*('Resumen Cuadrillas'!D15&gt;=37)*'Resumen Cuadrillas'!H15)+(('Resumen Cuadrillas'!C16&lt;=37)*('Resumen Cuadrillas'!D16&gt;=37)*'Resumen Cuadrillas'!H16)+(('Resumen Cuadrillas'!C17&lt;=37)*('Resumen Cuadrillas'!D17&gt;=37)*'Resumen Cuadrillas'!H17)</f>
        <v>7</v>
      </c>
    </row>
    <row r="41" customFormat="false" ht="15" hidden="false" customHeight="false" outlineLevel="0" collapsed="false">
      <c r="A41" s="0" t="n">
        <v>38</v>
      </c>
      <c r="B41" s="0" t="n">
        <f aca="false">(('Resumen Cuadrillas'!C4&lt;=38)*('Resumen Cuadrillas'!D4&gt;=38)*'Resumen Cuadrillas'!H4)+(('Resumen Cuadrillas'!C5&lt;=38)*('Resumen Cuadrillas'!D5&gt;=38)*'Resumen Cuadrillas'!H5)+(('Resumen Cuadrillas'!C6&lt;=38)*('Resumen Cuadrillas'!D6&gt;=38)*'Resumen Cuadrillas'!H6)+(('Resumen Cuadrillas'!C7&lt;=38)*('Resumen Cuadrillas'!D7&gt;=38)*'Resumen Cuadrillas'!H7)+(('Resumen Cuadrillas'!C8&lt;=38)*('Resumen Cuadrillas'!D8&gt;=38)*'Resumen Cuadrillas'!H8)+(('Resumen Cuadrillas'!C9&lt;=38)*('Resumen Cuadrillas'!D9&gt;=38)*'Resumen Cuadrillas'!H9)+(('Resumen Cuadrillas'!C10&lt;=38)*('Resumen Cuadrillas'!D10&gt;=38)*'Resumen Cuadrillas'!H10)+(('Resumen Cuadrillas'!C11&lt;=38)*('Resumen Cuadrillas'!D11&gt;=38)*'Resumen Cuadrillas'!H11)+(('Resumen Cuadrillas'!C12&lt;=38)*('Resumen Cuadrillas'!D12&gt;=38)*'Resumen Cuadrillas'!H12)+(('Resumen Cuadrillas'!C13&lt;=38)*('Resumen Cuadrillas'!D13&gt;=38)*'Resumen Cuadrillas'!H13)+(('Resumen Cuadrillas'!C14&lt;=38)*('Resumen Cuadrillas'!D14&gt;=38)*'Resumen Cuadrillas'!H14)+(('Resumen Cuadrillas'!C15&lt;=38)*('Resumen Cuadrillas'!D15&gt;=38)*'Resumen Cuadrillas'!H15)+(('Resumen Cuadrillas'!C16&lt;=38)*('Resumen Cuadrillas'!D16&gt;=38)*'Resumen Cuadrillas'!H16)+(('Resumen Cuadrillas'!C17&lt;=38)*('Resumen Cuadrillas'!D17&gt;=38)*'Resumen Cuadrillas'!H17)</f>
        <v>15</v>
      </c>
    </row>
    <row r="42" customFormat="false" ht="15" hidden="false" customHeight="false" outlineLevel="0" collapsed="false">
      <c r="A42" s="0" t="n">
        <v>39</v>
      </c>
      <c r="B42" s="0" t="n">
        <f aca="false">(('Resumen Cuadrillas'!C4&lt;=39)*('Resumen Cuadrillas'!D4&gt;=39)*'Resumen Cuadrillas'!H4)+(('Resumen Cuadrillas'!C5&lt;=39)*('Resumen Cuadrillas'!D5&gt;=39)*'Resumen Cuadrillas'!H5)+(('Resumen Cuadrillas'!C6&lt;=39)*('Resumen Cuadrillas'!D6&gt;=39)*'Resumen Cuadrillas'!H6)+(('Resumen Cuadrillas'!C7&lt;=39)*('Resumen Cuadrillas'!D7&gt;=39)*'Resumen Cuadrillas'!H7)+(('Resumen Cuadrillas'!C8&lt;=39)*('Resumen Cuadrillas'!D8&gt;=39)*'Resumen Cuadrillas'!H8)+(('Resumen Cuadrillas'!C9&lt;=39)*('Resumen Cuadrillas'!D9&gt;=39)*'Resumen Cuadrillas'!H9)+(('Resumen Cuadrillas'!C10&lt;=39)*('Resumen Cuadrillas'!D10&gt;=39)*'Resumen Cuadrillas'!H10)+(('Resumen Cuadrillas'!C11&lt;=39)*('Resumen Cuadrillas'!D11&gt;=39)*'Resumen Cuadrillas'!H11)+(('Resumen Cuadrillas'!C12&lt;=39)*('Resumen Cuadrillas'!D12&gt;=39)*'Resumen Cuadrillas'!H12)+(('Resumen Cuadrillas'!C13&lt;=39)*('Resumen Cuadrillas'!D13&gt;=39)*'Resumen Cuadrillas'!H13)+(('Resumen Cuadrillas'!C14&lt;=39)*('Resumen Cuadrillas'!D14&gt;=39)*'Resumen Cuadrillas'!H14)+(('Resumen Cuadrillas'!C15&lt;=39)*('Resumen Cuadrillas'!D15&gt;=39)*'Resumen Cuadrillas'!H15)+(('Resumen Cuadrillas'!C16&lt;=39)*('Resumen Cuadrillas'!D16&gt;=39)*'Resumen Cuadrillas'!H16)+(('Resumen Cuadrillas'!C17&lt;=39)*('Resumen Cuadrillas'!D17&gt;=39)*'Resumen Cuadrillas'!H17)</f>
        <v>15</v>
      </c>
    </row>
    <row r="43" customFormat="false" ht="15" hidden="false" customHeight="false" outlineLevel="0" collapsed="false">
      <c r="A43" s="0" t="n">
        <v>40</v>
      </c>
      <c r="B43" s="0" t="n">
        <f aca="false">(('Resumen Cuadrillas'!C4&lt;=40)*('Resumen Cuadrillas'!D4&gt;=40)*'Resumen Cuadrillas'!H4)+(('Resumen Cuadrillas'!C5&lt;=40)*('Resumen Cuadrillas'!D5&gt;=40)*'Resumen Cuadrillas'!H5)+(('Resumen Cuadrillas'!C6&lt;=40)*('Resumen Cuadrillas'!D6&gt;=40)*'Resumen Cuadrillas'!H6)+(('Resumen Cuadrillas'!C7&lt;=40)*('Resumen Cuadrillas'!D7&gt;=40)*'Resumen Cuadrillas'!H7)+(('Resumen Cuadrillas'!C8&lt;=40)*('Resumen Cuadrillas'!D8&gt;=40)*'Resumen Cuadrillas'!H8)+(('Resumen Cuadrillas'!C9&lt;=40)*('Resumen Cuadrillas'!D9&gt;=40)*'Resumen Cuadrillas'!H9)+(('Resumen Cuadrillas'!C10&lt;=40)*('Resumen Cuadrillas'!D10&gt;=40)*'Resumen Cuadrillas'!H10)+(('Resumen Cuadrillas'!C11&lt;=40)*('Resumen Cuadrillas'!D11&gt;=40)*'Resumen Cuadrillas'!H11)+(('Resumen Cuadrillas'!C12&lt;=40)*('Resumen Cuadrillas'!D12&gt;=40)*'Resumen Cuadrillas'!H12)+(('Resumen Cuadrillas'!C13&lt;=40)*('Resumen Cuadrillas'!D13&gt;=40)*'Resumen Cuadrillas'!H13)+(('Resumen Cuadrillas'!C14&lt;=40)*('Resumen Cuadrillas'!D14&gt;=40)*'Resumen Cuadrillas'!H14)+(('Resumen Cuadrillas'!C15&lt;=40)*('Resumen Cuadrillas'!D15&gt;=40)*'Resumen Cuadrillas'!H15)+(('Resumen Cuadrillas'!C16&lt;=40)*('Resumen Cuadrillas'!D16&gt;=40)*'Resumen Cuadrillas'!H16)+(('Resumen Cuadrillas'!C17&lt;=40)*('Resumen Cuadrillas'!D17&gt;=40)*'Resumen Cuadrillas'!H17)</f>
        <v>15</v>
      </c>
    </row>
    <row r="44" customFormat="false" ht="15" hidden="false" customHeight="false" outlineLevel="0" collapsed="false">
      <c r="A44" s="0" t="n">
        <v>41</v>
      </c>
      <c r="B44" s="0" t="n">
        <f aca="false">(('Resumen Cuadrillas'!C4&lt;=41)*('Resumen Cuadrillas'!D4&gt;=41)*'Resumen Cuadrillas'!H4)+(('Resumen Cuadrillas'!C5&lt;=41)*('Resumen Cuadrillas'!D5&gt;=41)*'Resumen Cuadrillas'!H5)+(('Resumen Cuadrillas'!C6&lt;=41)*('Resumen Cuadrillas'!D6&gt;=41)*'Resumen Cuadrillas'!H6)+(('Resumen Cuadrillas'!C7&lt;=41)*('Resumen Cuadrillas'!D7&gt;=41)*'Resumen Cuadrillas'!H7)+(('Resumen Cuadrillas'!C8&lt;=41)*('Resumen Cuadrillas'!D8&gt;=41)*'Resumen Cuadrillas'!H8)+(('Resumen Cuadrillas'!C9&lt;=41)*('Resumen Cuadrillas'!D9&gt;=41)*'Resumen Cuadrillas'!H9)+(('Resumen Cuadrillas'!C10&lt;=41)*('Resumen Cuadrillas'!D10&gt;=41)*'Resumen Cuadrillas'!H10)+(('Resumen Cuadrillas'!C11&lt;=41)*('Resumen Cuadrillas'!D11&gt;=41)*'Resumen Cuadrillas'!H11)+(('Resumen Cuadrillas'!C12&lt;=41)*('Resumen Cuadrillas'!D12&gt;=41)*'Resumen Cuadrillas'!H12)+(('Resumen Cuadrillas'!C13&lt;=41)*('Resumen Cuadrillas'!D13&gt;=41)*'Resumen Cuadrillas'!H13)+(('Resumen Cuadrillas'!C14&lt;=41)*('Resumen Cuadrillas'!D14&gt;=41)*'Resumen Cuadrillas'!H14)+(('Resumen Cuadrillas'!C15&lt;=41)*('Resumen Cuadrillas'!D15&gt;=41)*'Resumen Cuadrillas'!H15)+(('Resumen Cuadrillas'!C16&lt;=41)*('Resumen Cuadrillas'!D16&gt;=41)*'Resumen Cuadrillas'!H16)+(('Resumen Cuadrillas'!C17&lt;=41)*('Resumen Cuadrillas'!D17&gt;=41)*'Resumen Cuadrillas'!H17)</f>
        <v>11</v>
      </c>
    </row>
    <row r="45" customFormat="false" ht="15" hidden="false" customHeight="false" outlineLevel="0" collapsed="false">
      <c r="A45" s="0" t="n">
        <v>42</v>
      </c>
      <c r="B45" s="0" t="n">
        <f aca="false">(('Resumen Cuadrillas'!C4&lt;=42)*('Resumen Cuadrillas'!D4&gt;=42)*'Resumen Cuadrillas'!H4)+(('Resumen Cuadrillas'!C5&lt;=42)*('Resumen Cuadrillas'!D5&gt;=42)*'Resumen Cuadrillas'!H5)+(('Resumen Cuadrillas'!C6&lt;=42)*('Resumen Cuadrillas'!D6&gt;=42)*'Resumen Cuadrillas'!H6)+(('Resumen Cuadrillas'!C7&lt;=42)*('Resumen Cuadrillas'!D7&gt;=42)*'Resumen Cuadrillas'!H7)+(('Resumen Cuadrillas'!C8&lt;=42)*('Resumen Cuadrillas'!D8&gt;=42)*'Resumen Cuadrillas'!H8)+(('Resumen Cuadrillas'!C9&lt;=42)*('Resumen Cuadrillas'!D9&gt;=42)*'Resumen Cuadrillas'!H9)+(('Resumen Cuadrillas'!C10&lt;=42)*('Resumen Cuadrillas'!D10&gt;=42)*'Resumen Cuadrillas'!H10)+(('Resumen Cuadrillas'!C11&lt;=42)*('Resumen Cuadrillas'!D11&gt;=42)*'Resumen Cuadrillas'!H11)+(('Resumen Cuadrillas'!C12&lt;=42)*('Resumen Cuadrillas'!D12&gt;=42)*'Resumen Cuadrillas'!H12)+(('Resumen Cuadrillas'!C13&lt;=42)*('Resumen Cuadrillas'!D13&gt;=42)*'Resumen Cuadrillas'!H13)+(('Resumen Cuadrillas'!C14&lt;=42)*('Resumen Cuadrillas'!D14&gt;=42)*'Resumen Cuadrillas'!H14)+(('Resumen Cuadrillas'!C15&lt;=42)*('Resumen Cuadrillas'!D15&gt;=42)*'Resumen Cuadrillas'!H15)+(('Resumen Cuadrillas'!C16&lt;=42)*('Resumen Cuadrillas'!D16&gt;=42)*'Resumen Cuadrillas'!H16)+(('Resumen Cuadrillas'!C17&lt;=42)*('Resumen Cuadrillas'!D17&gt;=42)*'Resumen Cuadrillas'!H17)</f>
        <v>11</v>
      </c>
    </row>
    <row r="46" customFormat="false" ht="15" hidden="false" customHeight="false" outlineLevel="0" collapsed="false">
      <c r="A46" s="0" t="n">
        <v>43</v>
      </c>
      <c r="B46" s="0" t="n">
        <f aca="false">(('Resumen Cuadrillas'!C4&lt;=43)*('Resumen Cuadrillas'!D4&gt;=43)*'Resumen Cuadrillas'!H4)+(('Resumen Cuadrillas'!C5&lt;=43)*('Resumen Cuadrillas'!D5&gt;=43)*'Resumen Cuadrillas'!H5)+(('Resumen Cuadrillas'!C6&lt;=43)*('Resumen Cuadrillas'!D6&gt;=43)*'Resumen Cuadrillas'!H6)+(('Resumen Cuadrillas'!C7&lt;=43)*('Resumen Cuadrillas'!D7&gt;=43)*'Resumen Cuadrillas'!H7)+(('Resumen Cuadrillas'!C8&lt;=43)*('Resumen Cuadrillas'!D8&gt;=43)*'Resumen Cuadrillas'!H8)+(('Resumen Cuadrillas'!C9&lt;=43)*('Resumen Cuadrillas'!D9&gt;=43)*'Resumen Cuadrillas'!H9)+(('Resumen Cuadrillas'!C10&lt;=43)*('Resumen Cuadrillas'!D10&gt;=43)*'Resumen Cuadrillas'!H10)+(('Resumen Cuadrillas'!C11&lt;=43)*('Resumen Cuadrillas'!D11&gt;=43)*'Resumen Cuadrillas'!H11)+(('Resumen Cuadrillas'!C12&lt;=43)*('Resumen Cuadrillas'!D12&gt;=43)*'Resumen Cuadrillas'!H12)+(('Resumen Cuadrillas'!C13&lt;=43)*('Resumen Cuadrillas'!D13&gt;=43)*'Resumen Cuadrillas'!H13)+(('Resumen Cuadrillas'!C14&lt;=43)*('Resumen Cuadrillas'!D14&gt;=43)*'Resumen Cuadrillas'!H14)+(('Resumen Cuadrillas'!C15&lt;=43)*('Resumen Cuadrillas'!D15&gt;=43)*'Resumen Cuadrillas'!H15)+(('Resumen Cuadrillas'!C16&lt;=43)*('Resumen Cuadrillas'!D16&gt;=43)*'Resumen Cuadrillas'!H16)+(('Resumen Cuadrillas'!C17&lt;=43)*('Resumen Cuadrillas'!D17&gt;=43)*'Resumen Cuadrillas'!H17)</f>
        <v>11</v>
      </c>
    </row>
    <row r="47" customFormat="false" ht="15" hidden="false" customHeight="false" outlineLevel="0" collapsed="false">
      <c r="A47" s="0" t="n">
        <v>44</v>
      </c>
      <c r="B47" s="0" t="n">
        <f aca="false">(('Resumen Cuadrillas'!C4&lt;=44)*('Resumen Cuadrillas'!D4&gt;=44)*'Resumen Cuadrillas'!H4)+(('Resumen Cuadrillas'!C5&lt;=44)*('Resumen Cuadrillas'!D5&gt;=44)*'Resumen Cuadrillas'!H5)+(('Resumen Cuadrillas'!C6&lt;=44)*('Resumen Cuadrillas'!D6&gt;=44)*'Resumen Cuadrillas'!H6)+(('Resumen Cuadrillas'!C7&lt;=44)*('Resumen Cuadrillas'!D7&gt;=44)*'Resumen Cuadrillas'!H7)+(('Resumen Cuadrillas'!C8&lt;=44)*('Resumen Cuadrillas'!D8&gt;=44)*'Resumen Cuadrillas'!H8)+(('Resumen Cuadrillas'!C9&lt;=44)*('Resumen Cuadrillas'!D9&gt;=44)*'Resumen Cuadrillas'!H9)+(('Resumen Cuadrillas'!C10&lt;=44)*('Resumen Cuadrillas'!D10&gt;=44)*'Resumen Cuadrillas'!H10)+(('Resumen Cuadrillas'!C11&lt;=44)*('Resumen Cuadrillas'!D11&gt;=44)*'Resumen Cuadrillas'!H11)+(('Resumen Cuadrillas'!C12&lt;=44)*('Resumen Cuadrillas'!D12&gt;=44)*'Resumen Cuadrillas'!H12)+(('Resumen Cuadrillas'!C13&lt;=44)*('Resumen Cuadrillas'!D13&gt;=44)*'Resumen Cuadrillas'!H13)+(('Resumen Cuadrillas'!C14&lt;=44)*('Resumen Cuadrillas'!D14&gt;=44)*'Resumen Cuadrillas'!H14)+(('Resumen Cuadrillas'!C15&lt;=44)*('Resumen Cuadrillas'!D15&gt;=44)*'Resumen Cuadrillas'!H15)+(('Resumen Cuadrillas'!C16&lt;=44)*('Resumen Cuadrillas'!D16&gt;=44)*'Resumen Cuadrillas'!H16)+(('Resumen Cuadrillas'!C17&lt;=44)*('Resumen Cuadrillas'!D17&gt;=44)*'Resumen Cuadrillas'!H17)</f>
        <v>11</v>
      </c>
    </row>
    <row r="48" customFormat="false" ht="15" hidden="false" customHeight="false" outlineLevel="0" collapsed="false">
      <c r="A48" s="0" t="n">
        <v>45</v>
      </c>
      <c r="B48" s="0" t="n">
        <f aca="false">(('Resumen Cuadrillas'!C4&lt;=45)*('Resumen Cuadrillas'!D4&gt;=45)*'Resumen Cuadrillas'!H4)+(('Resumen Cuadrillas'!C5&lt;=45)*('Resumen Cuadrillas'!D5&gt;=45)*'Resumen Cuadrillas'!H5)+(('Resumen Cuadrillas'!C6&lt;=45)*('Resumen Cuadrillas'!D6&gt;=45)*'Resumen Cuadrillas'!H6)+(('Resumen Cuadrillas'!C7&lt;=45)*('Resumen Cuadrillas'!D7&gt;=45)*'Resumen Cuadrillas'!H7)+(('Resumen Cuadrillas'!C8&lt;=45)*('Resumen Cuadrillas'!D8&gt;=45)*'Resumen Cuadrillas'!H8)+(('Resumen Cuadrillas'!C9&lt;=45)*('Resumen Cuadrillas'!D9&gt;=45)*'Resumen Cuadrillas'!H9)+(('Resumen Cuadrillas'!C10&lt;=45)*('Resumen Cuadrillas'!D10&gt;=45)*'Resumen Cuadrillas'!H10)+(('Resumen Cuadrillas'!C11&lt;=45)*('Resumen Cuadrillas'!D11&gt;=45)*'Resumen Cuadrillas'!H11)+(('Resumen Cuadrillas'!C12&lt;=45)*('Resumen Cuadrillas'!D12&gt;=45)*'Resumen Cuadrillas'!H12)+(('Resumen Cuadrillas'!C13&lt;=45)*('Resumen Cuadrillas'!D13&gt;=45)*'Resumen Cuadrillas'!H13)+(('Resumen Cuadrillas'!C14&lt;=45)*('Resumen Cuadrillas'!D14&gt;=45)*'Resumen Cuadrillas'!H14)+(('Resumen Cuadrillas'!C15&lt;=45)*('Resumen Cuadrillas'!D15&gt;=45)*'Resumen Cuadrillas'!H15)+(('Resumen Cuadrillas'!C16&lt;=45)*('Resumen Cuadrillas'!D16&gt;=45)*'Resumen Cuadrillas'!H16)+(('Resumen Cuadrillas'!C17&lt;=45)*('Resumen Cuadrillas'!D17&gt;=45)*'Resumen Cuadrillas'!H17)</f>
        <v>11</v>
      </c>
    </row>
    <row r="49" customFormat="false" ht="15" hidden="false" customHeight="false" outlineLevel="0" collapsed="false">
      <c r="A49" s="0" t="n">
        <v>46</v>
      </c>
      <c r="B49" s="0" t="n">
        <f aca="false">(('Resumen Cuadrillas'!C4&lt;=46)*('Resumen Cuadrillas'!D4&gt;=46)*'Resumen Cuadrillas'!H4)+(('Resumen Cuadrillas'!C5&lt;=46)*('Resumen Cuadrillas'!D5&gt;=46)*'Resumen Cuadrillas'!H5)+(('Resumen Cuadrillas'!C6&lt;=46)*('Resumen Cuadrillas'!D6&gt;=46)*'Resumen Cuadrillas'!H6)+(('Resumen Cuadrillas'!C7&lt;=46)*('Resumen Cuadrillas'!D7&gt;=46)*'Resumen Cuadrillas'!H7)+(('Resumen Cuadrillas'!C8&lt;=46)*('Resumen Cuadrillas'!D8&gt;=46)*'Resumen Cuadrillas'!H8)+(('Resumen Cuadrillas'!C9&lt;=46)*('Resumen Cuadrillas'!D9&gt;=46)*'Resumen Cuadrillas'!H9)+(('Resumen Cuadrillas'!C10&lt;=46)*('Resumen Cuadrillas'!D10&gt;=46)*'Resumen Cuadrillas'!H10)+(('Resumen Cuadrillas'!C11&lt;=46)*('Resumen Cuadrillas'!D11&gt;=46)*'Resumen Cuadrillas'!H11)+(('Resumen Cuadrillas'!C12&lt;=46)*('Resumen Cuadrillas'!D12&gt;=46)*'Resumen Cuadrillas'!H12)+(('Resumen Cuadrillas'!C13&lt;=46)*('Resumen Cuadrillas'!D13&gt;=46)*'Resumen Cuadrillas'!H13)+(('Resumen Cuadrillas'!C14&lt;=46)*('Resumen Cuadrillas'!D14&gt;=46)*'Resumen Cuadrillas'!H14)+(('Resumen Cuadrillas'!C15&lt;=46)*('Resumen Cuadrillas'!D15&gt;=46)*'Resumen Cuadrillas'!H15)+(('Resumen Cuadrillas'!C16&lt;=46)*('Resumen Cuadrillas'!D16&gt;=46)*'Resumen Cuadrillas'!H16)+(('Resumen Cuadrillas'!C17&lt;=46)*('Resumen Cuadrillas'!D17&gt;=46)*'Resumen Cuadrillas'!H17)</f>
        <v>11</v>
      </c>
    </row>
    <row r="50" customFormat="false" ht="15" hidden="false" customHeight="false" outlineLevel="0" collapsed="false">
      <c r="A50" s="0" t="n">
        <v>47</v>
      </c>
      <c r="B50" s="0" t="n">
        <f aca="false">(('Resumen Cuadrillas'!C4&lt;=47)*('Resumen Cuadrillas'!D4&gt;=47)*'Resumen Cuadrillas'!H4)+(('Resumen Cuadrillas'!C5&lt;=47)*('Resumen Cuadrillas'!D5&gt;=47)*'Resumen Cuadrillas'!H5)+(('Resumen Cuadrillas'!C6&lt;=47)*('Resumen Cuadrillas'!D6&gt;=47)*'Resumen Cuadrillas'!H6)+(('Resumen Cuadrillas'!C7&lt;=47)*('Resumen Cuadrillas'!D7&gt;=47)*'Resumen Cuadrillas'!H7)+(('Resumen Cuadrillas'!C8&lt;=47)*('Resumen Cuadrillas'!D8&gt;=47)*'Resumen Cuadrillas'!H8)+(('Resumen Cuadrillas'!C9&lt;=47)*('Resumen Cuadrillas'!D9&gt;=47)*'Resumen Cuadrillas'!H9)+(('Resumen Cuadrillas'!C10&lt;=47)*('Resumen Cuadrillas'!D10&gt;=47)*'Resumen Cuadrillas'!H10)+(('Resumen Cuadrillas'!C11&lt;=47)*('Resumen Cuadrillas'!D11&gt;=47)*'Resumen Cuadrillas'!H11)+(('Resumen Cuadrillas'!C12&lt;=47)*('Resumen Cuadrillas'!D12&gt;=47)*'Resumen Cuadrillas'!H12)+(('Resumen Cuadrillas'!C13&lt;=47)*('Resumen Cuadrillas'!D13&gt;=47)*'Resumen Cuadrillas'!H13)+(('Resumen Cuadrillas'!C14&lt;=47)*('Resumen Cuadrillas'!D14&gt;=47)*'Resumen Cuadrillas'!H14)+(('Resumen Cuadrillas'!C15&lt;=47)*('Resumen Cuadrillas'!D15&gt;=47)*'Resumen Cuadrillas'!H15)+(('Resumen Cuadrillas'!C16&lt;=47)*('Resumen Cuadrillas'!D16&gt;=47)*'Resumen Cuadrillas'!H16)+(('Resumen Cuadrillas'!C17&lt;=47)*('Resumen Cuadrillas'!D17&gt;=47)*'Resumen Cuadrillas'!H17)</f>
        <v>11</v>
      </c>
    </row>
    <row r="51" customFormat="false" ht="15" hidden="false" customHeight="false" outlineLevel="0" collapsed="false">
      <c r="A51" s="0" t="n">
        <v>48</v>
      </c>
      <c r="B51" s="0" t="n">
        <f aca="false">(('Resumen Cuadrillas'!C4&lt;=48)*('Resumen Cuadrillas'!D4&gt;=48)*'Resumen Cuadrillas'!H4)+(('Resumen Cuadrillas'!C5&lt;=48)*('Resumen Cuadrillas'!D5&gt;=48)*'Resumen Cuadrillas'!H5)+(('Resumen Cuadrillas'!C6&lt;=48)*('Resumen Cuadrillas'!D6&gt;=48)*'Resumen Cuadrillas'!H6)+(('Resumen Cuadrillas'!C7&lt;=48)*('Resumen Cuadrillas'!D7&gt;=48)*'Resumen Cuadrillas'!H7)+(('Resumen Cuadrillas'!C8&lt;=48)*('Resumen Cuadrillas'!D8&gt;=48)*'Resumen Cuadrillas'!H8)+(('Resumen Cuadrillas'!C9&lt;=48)*('Resumen Cuadrillas'!D9&gt;=48)*'Resumen Cuadrillas'!H9)+(('Resumen Cuadrillas'!C10&lt;=48)*('Resumen Cuadrillas'!D10&gt;=48)*'Resumen Cuadrillas'!H10)+(('Resumen Cuadrillas'!C11&lt;=48)*('Resumen Cuadrillas'!D11&gt;=48)*'Resumen Cuadrillas'!H11)+(('Resumen Cuadrillas'!C12&lt;=48)*('Resumen Cuadrillas'!D12&gt;=48)*'Resumen Cuadrillas'!H12)+(('Resumen Cuadrillas'!C13&lt;=48)*('Resumen Cuadrillas'!D13&gt;=48)*'Resumen Cuadrillas'!H13)+(('Resumen Cuadrillas'!C14&lt;=48)*('Resumen Cuadrillas'!D14&gt;=48)*'Resumen Cuadrillas'!H14)+(('Resumen Cuadrillas'!C15&lt;=48)*('Resumen Cuadrillas'!D15&gt;=48)*'Resumen Cuadrillas'!H15)+(('Resumen Cuadrillas'!C16&lt;=48)*('Resumen Cuadrillas'!D16&gt;=48)*'Resumen Cuadrillas'!H16)+(('Resumen Cuadrillas'!C17&lt;=48)*('Resumen Cuadrillas'!D17&gt;=48)*'Resumen Cuadrillas'!H17)</f>
        <v>11</v>
      </c>
    </row>
    <row r="52" customFormat="false" ht="15" hidden="false" customHeight="false" outlineLevel="0" collapsed="false">
      <c r="A52" s="0" t="n">
        <v>49</v>
      </c>
      <c r="B52" s="0" t="n">
        <f aca="false">(('Resumen Cuadrillas'!C4&lt;=49)*('Resumen Cuadrillas'!D4&gt;=49)*'Resumen Cuadrillas'!H4)+(('Resumen Cuadrillas'!C5&lt;=49)*('Resumen Cuadrillas'!D5&gt;=49)*'Resumen Cuadrillas'!H5)+(('Resumen Cuadrillas'!C6&lt;=49)*('Resumen Cuadrillas'!D6&gt;=49)*'Resumen Cuadrillas'!H6)+(('Resumen Cuadrillas'!C7&lt;=49)*('Resumen Cuadrillas'!D7&gt;=49)*'Resumen Cuadrillas'!H7)+(('Resumen Cuadrillas'!C8&lt;=49)*('Resumen Cuadrillas'!D8&gt;=49)*'Resumen Cuadrillas'!H8)+(('Resumen Cuadrillas'!C9&lt;=49)*('Resumen Cuadrillas'!D9&gt;=49)*'Resumen Cuadrillas'!H9)+(('Resumen Cuadrillas'!C10&lt;=49)*('Resumen Cuadrillas'!D10&gt;=49)*'Resumen Cuadrillas'!H10)+(('Resumen Cuadrillas'!C11&lt;=49)*('Resumen Cuadrillas'!D11&gt;=49)*'Resumen Cuadrillas'!H11)+(('Resumen Cuadrillas'!C12&lt;=49)*('Resumen Cuadrillas'!D12&gt;=49)*'Resumen Cuadrillas'!H12)+(('Resumen Cuadrillas'!C13&lt;=49)*('Resumen Cuadrillas'!D13&gt;=49)*'Resumen Cuadrillas'!H13)+(('Resumen Cuadrillas'!C14&lt;=49)*('Resumen Cuadrillas'!D14&gt;=49)*'Resumen Cuadrillas'!H14)+(('Resumen Cuadrillas'!C15&lt;=49)*('Resumen Cuadrillas'!D15&gt;=49)*'Resumen Cuadrillas'!H15)+(('Resumen Cuadrillas'!C16&lt;=49)*('Resumen Cuadrillas'!D16&gt;=49)*'Resumen Cuadrillas'!H16)+(('Resumen Cuadrillas'!C17&lt;=49)*('Resumen Cuadrillas'!D17&gt;=49)*'Resumen Cuadrillas'!H17)</f>
        <v>11</v>
      </c>
    </row>
    <row r="53" customFormat="false" ht="15" hidden="false" customHeight="false" outlineLevel="0" collapsed="false">
      <c r="A53" s="0" t="n">
        <v>50</v>
      </c>
      <c r="B53" s="0" t="n">
        <f aca="false">(('Resumen Cuadrillas'!C4&lt;=50)*('Resumen Cuadrillas'!D4&gt;=50)*'Resumen Cuadrillas'!H4)+(('Resumen Cuadrillas'!C5&lt;=50)*('Resumen Cuadrillas'!D5&gt;=50)*'Resumen Cuadrillas'!H5)+(('Resumen Cuadrillas'!C6&lt;=50)*('Resumen Cuadrillas'!D6&gt;=50)*'Resumen Cuadrillas'!H6)+(('Resumen Cuadrillas'!C7&lt;=50)*('Resumen Cuadrillas'!D7&gt;=50)*'Resumen Cuadrillas'!H7)+(('Resumen Cuadrillas'!C8&lt;=50)*('Resumen Cuadrillas'!D8&gt;=50)*'Resumen Cuadrillas'!H8)+(('Resumen Cuadrillas'!C9&lt;=50)*('Resumen Cuadrillas'!D9&gt;=50)*'Resumen Cuadrillas'!H9)+(('Resumen Cuadrillas'!C10&lt;=50)*('Resumen Cuadrillas'!D10&gt;=50)*'Resumen Cuadrillas'!H10)+(('Resumen Cuadrillas'!C11&lt;=50)*('Resumen Cuadrillas'!D11&gt;=50)*'Resumen Cuadrillas'!H11)+(('Resumen Cuadrillas'!C12&lt;=50)*('Resumen Cuadrillas'!D12&gt;=50)*'Resumen Cuadrillas'!H12)+(('Resumen Cuadrillas'!C13&lt;=50)*('Resumen Cuadrillas'!D13&gt;=50)*'Resumen Cuadrillas'!H13)+(('Resumen Cuadrillas'!C14&lt;=50)*('Resumen Cuadrillas'!D14&gt;=50)*'Resumen Cuadrillas'!H14)+(('Resumen Cuadrillas'!C15&lt;=50)*('Resumen Cuadrillas'!D15&gt;=50)*'Resumen Cuadrillas'!H15)+(('Resumen Cuadrillas'!C16&lt;=50)*('Resumen Cuadrillas'!D16&gt;=50)*'Resumen Cuadrillas'!H16)+(('Resumen Cuadrillas'!C17&lt;=50)*('Resumen Cuadrillas'!D17&gt;=50)*'Resumen Cuadrillas'!H17)</f>
        <v>11</v>
      </c>
    </row>
    <row r="54" customFormat="false" ht="15" hidden="false" customHeight="false" outlineLevel="0" collapsed="false">
      <c r="A54" s="0" t="n">
        <v>51</v>
      </c>
      <c r="B54" s="0" t="n">
        <f aca="false">(('Resumen Cuadrillas'!C4&lt;=51)*('Resumen Cuadrillas'!D4&gt;=51)*'Resumen Cuadrillas'!H4)+(('Resumen Cuadrillas'!C5&lt;=51)*('Resumen Cuadrillas'!D5&gt;=51)*'Resumen Cuadrillas'!H5)+(('Resumen Cuadrillas'!C6&lt;=51)*('Resumen Cuadrillas'!D6&gt;=51)*'Resumen Cuadrillas'!H6)+(('Resumen Cuadrillas'!C7&lt;=51)*('Resumen Cuadrillas'!D7&gt;=51)*'Resumen Cuadrillas'!H7)+(('Resumen Cuadrillas'!C8&lt;=51)*('Resumen Cuadrillas'!D8&gt;=51)*'Resumen Cuadrillas'!H8)+(('Resumen Cuadrillas'!C9&lt;=51)*('Resumen Cuadrillas'!D9&gt;=51)*'Resumen Cuadrillas'!H9)+(('Resumen Cuadrillas'!C10&lt;=51)*('Resumen Cuadrillas'!D10&gt;=51)*'Resumen Cuadrillas'!H10)+(('Resumen Cuadrillas'!C11&lt;=51)*('Resumen Cuadrillas'!D11&gt;=51)*'Resumen Cuadrillas'!H11)+(('Resumen Cuadrillas'!C12&lt;=51)*('Resumen Cuadrillas'!D12&gt;=51)*'Resumen Cuadrillas'!H12)+(('Resumen Cuadrillas'!C13&lt;=51)*('Resumen Cuadrillas'!D13&gt;=51)*'Resumen Cuadrillas'!H13)+(('Resumen Cuadrillas'!C14&lt;=51)*('Resumen Cuadrillas'!D14&gt;=51)*'Resumen Cuadrillas'!H14)+(('Resumen Cuadrillas'!C15&lt;=51)*('Resumen Cuadrillas'!D15&gt;=51)*'Resumen Cuadrillas'!H15)+(('Resumen Cuadrillas'!C16&lt;=51)*('Resumen Cuadrillas'!D16&gt;=51)*'Resumen Cuadrillas'!H16)+(('Resumen Cuadrillas'!C17&lt;=51)*('Resumen Cuadrillas'!D17&gt;=51)*'Resumen Cuadrillas'!H17)</f>
        <v>11</v>
      </c>
    </row>
    <row r="55" customFormat="false" ht="15" hidden="false" customHeight="false" outlineLevel="0" collapsed="false">
      <c r="A55" s="0" t="n">
        <v>52</v>
      </c>
      <c r="B55" s="0" t="n">
        <f aca="false">(('Resumen Cuadrillas'!C4&lt;=52)*('Resumen Cuadrillas'!D4&gt;=52)*'Resumen Cuadrillas'!H4)+(('Resumen Cuadrillas'!C5&lt;=52)*('Resumen Cuadrillas'!D5&gt;=52)*'Resumen Cuadrillas'!H5)+(('Resumen Cuadrillas'!C6&lt;=52)*('Resumen Cuadrillas'!D6&gt;=52)*'Resumen Cuadrillas'!H6)+(('Resumen Cuadrillas'!C7&lt;=52)*('Resumen Cuadrillas'!D7&gt;=52)*'Resumen Cuadrillas'!H7)+(('Resumen Cuadrillas'!C8&lt;=52)*('Resumen Cuadrillas'!D8&gt;=52)*'Resumen Cuadrillas'!H8)+(('Resumen Cuadrillas'!C9&lt;=52)*('Resumen Cuadrillas'!D9&gt;=52)*'Resumen Cuadrillas'!H9)+(('Resumen Cuadrillas'!C10&lt;=52)*('Resumen Cuadrillas'!D10&gt;=52)*'Resumen Cuadrillas'!H10)+(('Resumen Cuadrillas'!C11&lt;=52)*('Resumen Cuadrillas'!D11&gt;=52)*'Resumen Cuadrillas'!H11)+(('Resumen Cuadrillas'!C12&lt;=52)*('Resumen Cuadrillas'!D12&gt;=52)*'Resumen Cuadrillas'!H12)+(('Resumen Cuadrillas'!C13&lt;=52)*('Resumen Cuadrillas'!D13&gt;=52)*'Resumen Cuadrillas'!H13)+(('Resumen Cuadrillas'!C14&lt;=52)*('Resumen Cuadrillas'!D14&gt;=52)*'Resumen Cuadrillas'!H14)+(('Resumen Cuadrillas'!C15&lt;=52)*('Resumen Cuadrillas'!D15&gt;=52)*'Resumen Cuadrillas'!H15)+(('Resumen Cuadrillas'!C16&lt;=52)*('Resumen Cuadrillas'!D16&gt;=52)*'Resumen Cuadrillas'!H16)+(('Resumen Cuadrillas'!C17&lt;=52)*('Resumen Cuadrillas'!D17&gt;=52)*'Resumen Cuadrillas'!H17)</f>
        <v>11</v>
      </c>
    </row>
    <row r="56" customFormat="false" ht="15" hidden="false" customHeight="false" outlineLevel="0" collapsed="false">
      <c r="A56" s="0" t="n">
        <v>53</v>
      </c>
      <c r="B56" s="0" t="n">
        <f aca="false">(('Resumen Cuadrillas'!C4&lt;=53)*('Resumen Cuadrillas'!D4&gt;=53)*'Resumen Cuadrillas'!H4)+(('Resumen Cuadrillas'!C5&lt;=53)*('Resumen Cuadrillas'!D5&gt;=53)*'Resumen Cuadrillas'!H5)+(('Resumen Cuadrillas'!C6&lt;=53)*('Resumen Cuadrillas'!D6&gt;=53)*'Resumen Cuadrillas'!H6)+(('Resumen Cuadrillas'!C7&lt;=53)*('Resumen Cuadrillas'!D7&gt;=53)*'Resumen Cuadrillas'!H7)+(('Resumen Cuadrillas'!C8&lt;=53)*('Resumen Cuadrillas'!D8&gt;=53)*'Resumen Cuadrillas'!H8)+(('Resumen Cuadrillas'!C9&lt;=53)*('Resumen Cuadrillas'!D9&gt;=53)*'Resumen Cuadrillas'!H9)+(('Resumen Cuadrillas'!C10&lt;=53)*('Resumen Cuadrillas'!D10&gt;=53)*'Resumen Cuadrillas'!H10)+(('Resumen Cuadrillas'!C11&lt;=53)*('Resumen Cuadrillas'!D11&gt;=53)*'Resumen Cuadrillas'!H11)+(('Resumen Cuadrillas'!C12&lt;=53)*('Resumen Cuadrillas'!D12&gt;=53)*'Resumen Cuadrillas'!H12)+(('Resumen Cuadrillas'!C13&lt;=53)*('Resumen Cuadrillas'!D13&gt;=53)*'Resumen Cuadrillas'!H13)+(('Resumen Cuadrillas'!C14&lt;=53)*('Resumen Cuadrillas'!D14&gt;=53)*'Resumen Cuadrillas'!H14)+(('Resumen Cuadrillas'!C15&lt;=53)*('Resumen Cuadrillas'!D15&gt;=53)*'Resumen Cuadrillas'!H15)+(('Resumen Cuadrillas'!C16&lt;=53)*('Resumen Cuadrillas'!D16&gt;=53)*'Resumen Cuadrillas'!H16)+(('Resumen Cuadrillas'!C17&lt;=53)*('Resumen Cuadrillas'!D17&gt;=53)*'Resumen Cuadrillas'!H17)</f>
        <v>1</v>
      </c>
    </row>
    <row r="57" customFormat="false" ht="15" hidden="false" customHeight="false" outlineLevel="0" collapsed="false">
      <c r="A57" s="0" t="n">
        <v>54</v>
      </c>
      <c r="B57" s="0" t="n">
        <f aca="false">(('Resumen Cuadrillas'!C4&lt;=54)*('Resumen Cuadrillas'!D4&gt;=54)*'Resumen Cuadrillas'!H4)+(('Resumen Cuadrillas'!C5&lt;=54)*('Resumen Cuadrillas'!D5&gt;=54)*'Resumen Cuadrillas'!H5)+(('Resumen Cuadrillas'!C6&lt;=54)*('Resumen Cuadrillas'!D6&gt;=54)*'Resumen Cuadrillas'!H6)+(('Resumen Cuadrillas'!C7&lt;=54)*('Resumen Cuadrillas'!D7&gt;=54)*'Resumen Cuadrillas'!H7)+(('Resumen Cuadrillas'!C8&lt;=54)*('Resumen Cuadrillas'!D8&gt;=54)*'Resumen Cuadrillas'!H8)+(('Resumen Cuadrillas'!C9&lt;=54)*('Resumen Cuadrillas'!D9&gt;=54)*'Resumen Cuadrillas'!H9)+(('Resumen Cuadrillas'!C10&lt;=54)*('Resumen Cuadrillas'!D10&gt;=54)*'Resumen Cuadrillas'!H10)+(('Resumen Cuadrillas'!C11&lt;=54)*('Resumen Cuadrillas'!D11&gt;=54)*'Resumen Cuadrillas'!H11)+(('Resumen Cuadrillas'!C12&lt;=54)*('Resumen Cuadrillas'!D12&gt;=54)*'Resumen Cuadrillas'!H12)+(('Resumen Cuadrillas'!C13&lt;=54)*('Resumen Cuadrillas'!D13&gt;=54)*'Resumen Cuadrillas'!H13)+(('Resumen Cuadrillas'!C14&lt;=54)*('Resumen Cuadrillas'!D14&gt;=54)*'Resumen Cuadrillas'!H14)+(('Resumen Cuadrillas'!C15&lt;=54)*('Resumen Cuadrillas'!D15&gt;=54)*'Resumen Cuadrillas'!H15)+(('Resumen Cuadrillas'!C16&lt;=54)*('Resumen Cuadrillas'!D16&gt;=54)*'Resumen Cuadrillas'!H16)+(('Resumen Cuadrillas'!C17&lt;=54)*('Resumen Cuadrillas'!D17&gt;=54)*'Resumen Cuadrillas'!H17)</f>
        <v>1</v>
      </c>
    </row>
    <row r="58" customFormat="false" ht="15" hidden="false" customHeight="false" outlineLevel="0" collapsed="false">
      <c r="A58" s="0" t="n">
        <v>55</v>
      </c>
      <c r="B58" s="0" t="n">
        <f aca="false">(('Resumen Cuadrillas'!C4&lt;=55)*('Resumen Cuadrillas'!D4&gt;=55)*'Resumen Cuadrillas'!H4)+(('Resumen Cuadrillas'!C5&lt;=55)*('Resumen Cuadrillas'!D5&gt;=55)*'Resumen Cuadrillas'!H5)+(('Resumen Cuadrillas'!C6&lt;=55)*('Resumen Cuadrillas'!D6&gt;=55)*'Resumen Cuadrillas'!H6)+(('Resumen Cuadrillas'!C7&lt;=55)*('Resumen Cuadrillas'!D7&gt;=55)*'Resumen Cuadrillas'!H7)+(('Resumen Cuadrillas'!C8&lt;=55)*('Resumen Cuadrillas'!D8&gt;=55)*'Resumen Cuadrillas'!H8)+(('Resumen Cuadrillas'!C9&lt;=55)*('Resumen Cuadrillas'!D9&gt;=55)*'Resumen Cuadrillas'!H9)+(('Resumen Cuadrillas'!C10&lt;=55)*('Resumen Cuadrillas'!D10&gt;=55)*'Resumen Cuadrillas'!H10)+(('Resumen Cuadrillas'!C11&lt;=55)*('Resumen Cuadrillas'!D11&gt;=55)*'Resumen Cuadrillas'!H11)+(('Resumen Cuadrillas'!C12&lt;=55)*('Resumen Cuadrillas'!D12&gt;=55)*'Resumen Cuadrillas'!H12)+(('Resumen Cuadrillas'!C13&lt;=55)*('Resumen Cuadrillas'!D13&gt;=55)*'Resumen Cuadrillas'!H13)+(('Resumen Cuadrillas'!C14&lt;=55)*('Resumen Cuadrillas'!D14&gt;=55)*'Resumen Cuadrillas'!H14)+(('Resumen Cuadrillas'!C15&lt;=55)*('Resumen Cuadrillas'!D15&gt;=55)*'Resumen Cuadrillas'!H15)+(('Resumen Cuadrillas'!C16&lt;=55)*('Resumen Cuadrillas'!D16&gt;=55)*'Resumen Cuadrillas'!H16)+(('Resumen Cuadrillas'!C17&lt;=55)*('Resumen Cuadrillas'!D17&gt;=55)*'Resumen Cuadrillas'!H17)</f>
        <v>1</v>
      </c>
    </row>
    <row r="59" customFormat="false" ht="15" hidden="false" customHeight="false" outlineLevel="0" collapsed="false">
      <c r="A59" s="0" t="n">
        <v>56</v>
      </c>
      <c r="B59" s="0" t="n">
        <f aca="false">(('Resumen Cuadrillas'!C4&lt;=56)*('Resumen Cuadrillas'!D4&gt;=56)*'Resumen Cuadrillas'!H4)+(('Resumen Cuadrillas'!C5&lt;=56)*('Resumen Cuadrillas'!D5&gt;=56)*'Resumen Cuadrillas'!H5)+(('Resumen Cuadrillas'!C6&lt;=56)*('Resumen Cuadrillas'!D6&gt;=56)*'Resumen Cuadrillas'!H6)+(('Resumen Cuadrillas'!C7&lt;=56)*('Resumen Cuadrillas'!D7&gt;=56)*'Resumen Cuadrillas'!H7)+(('Resumen Cuadrillas'!C8&lt;=56)*('Resumen Cuadrillas'!D8&gt;=56)*'Resumen Cuadrillas'!H8)+(('Resumen Cuadrillas'!C9&lt;=56)*('Resumen Cuadrillas'!D9&gt;=56)*'Resumen Cuadrillas'!H9)+(('Resumen Cuadrillas'!C10&lt;=56)*('Resumen Cuadrillas'!D10&gt;=56)*'Resumen Cuadrillas'!H10)+(('Resumen Cuadrillas'!C11&lt;=56)*('Resumen Cuadrillas'!D11&gt;=56)*'Resumen Cuadrillas'!H11)+(('Resumen Cuadrillas'!C12&lt;=56)*('Resumen Cuadrillas'!D12&gt;=56)*'Resumen Cuadrillas'!H12)+(('Resumen Cuadrillas'!C13&lt;=56)*('Resumen Cuadrillas'!D13&gt;=56)*'Resumen Cuadrillas'!H13)+(('Resumen Cuadrillas'!C14&lt;=56)*('Resumen Cuadrillas'!D14&gt;=56)*'Resumen Cuadrillas'!H14)+(('Resumen Cuadrillas'!C15&lt;=56)*('Resumen Cuadrillas'!D15&gt;=56)*'Resumen Cuadrillas'!H15)+(('Resumen Cuadrillas'!C16&lt;=56)*('Resumen Cuadrillas'!D16&gt;=56)*'Resumen Cuadrillas'!H16)+(('Resumen Cuadrillas'!C17&lt;=56)*('Resumen Cuadrillas'!D17&gt;=56)*'Resumen Cuadrillas'!H17)</f>
        <v>1</v>
      </c>
    </row>
    <row r="60" customFormat="false" ht="15" hidden="false" customHeight="false" outlineLevel="0" collapsed="false">
      <c r="A60" s="0" t="n">
        <v>57</v>
      </c>
      <c r="B60" s="0" t="n">
        <f aca="false">(('Resumen Cuadrillas'!C4&lt;=57)*('Resumen Cuadrillas'!D4&gt;=57)*'Resumen Cuadrillas'!H4)+(('Resumen Cuadrillas'!C5&lt;=57)*('Resumen Cuadrillas'!D5&gt;=57)*'Resumen Cuadrillas'!H5)+(('Resumen Cuadrillas'!C6&lt;=57)*('Resumen Cuadrillas'!D6&gt;=57)*'Resumen Cuadrillas'!H6)+(('Resumen Cuadrillas'!C7&lt;=57)*('Resumen Cuadrillas'!D7&gt;=57)*'Resumen Cuadrillas'!H7)+(('Resumen Cuadrillas'!C8&lt;=57)*('Resumen Cuadrillas'!D8&gt;=57)*'Resumen Cuadrillas'!H8)+(('Resumen Cuadrillas'!C9&lt;=57)*('Resumen Cuadrillas'!D9&gt;=57)*'Resumen Cuadrillas'!H9)+(('Resumen Cuadrillas'!C10&lt;=57)*('Resumen Cuadrillas'!D10&gt;=57)*'Resumen Cuadrillas'!H10)+(('Resumen Cuadrillas'!C11&lt;=57)*('Resumen Cuadrillas'!D11&gt;=57)*'Resumen Cuadrillas'!H11)+(('Resumen Cuadrillas'!C12&lt;=57)*('Resumen Cuadrillas'!D12&gt;=57)*'Resumen Cuadrillas'!H12)+(('Resumen Cuadrillas'!C13&lt;=57)*('Resumen Cuadrillas'!D13&gt;=57)*'Resumen Cuadrillas'!H13)+(('Resumen Cuadrillas'!C14&lt;=57)*('Resumen Cuadrillas'!D14&gt;=57)*'Resumen Cuadrillas'!H14)+(('Resumen Cuadrillas'!C15&lt;=57)*('Resumen Cuadrillas'!D15&gt;=57)*'Resumen Cuadrillas'!H15)+(('Resumen Cuadrillas'!C16&lt;=57)*('Resumen Cuadrillas'!D16&gt;=57)*'Resumen Cuadrillas'!H16)+(('Resumen Cuadrillas'!C17&lt;=57)*('Resumen Cuadrillas'!D17&gt;=57)*'Resumen Cuadrillas'!H17)</f>
        <v>1</v>
      </c>
    </row>
    <row r="61" customFormat="false" ht="15" hidden="false" customHeight="false" outlineLevel="0" collapsed="false">
      <c r="A61" s="0" t="n">
        <v>58</v>
      </c>
      <c r="B61" s="0" t="n">
        <f aca="false">(('Resumen Cuadrillas'!C4&lt;=58)*('Resumen Cuadrillas'!D4&gt;=58)*'Resumen Cuadrillas'!H4)+(('Resumen Cuadrillas'!C5&lt;=58)*('Resumen Cuadrillas'!D5&gt;=58)*'Resumen Cuadrillas'!H5)+(('Resumen Cuadrillas'!C6&lt;=58)*('Resumen Cuadrillas'!D6&gt;=58)*'Resumen Cuadrillas'!H6)+(('Resumen Cuadrillas'!C7&lt;=58)*('Resumen Cuadrillas'!D7&gt;=58)*'Resumen Cuadrillas'!H7)+(('Resumen Cuadrillas'!C8&lt;=58)*('Resumen Cuadrillas'!D8&gt;=58)*'Resumen Cuadrillas'!H8)+(('Resumen Cuadrillas'!C9&lt;=58)*('Resumen Cuadrillas'!D9&gt;=58)*'Resumen Cuadrillas'!H9)+(('Resumen Cuadrillas'!C10&lt;=58)*('Resumen Cuadrillas'!D10&gt;=58)*'Resumen Cuadrillas'!H10)+(('Resumen Cuadrillas'!C11&lt;=58)*('Resumen Cuadrillas'!D11&gt;=58)*'Resumen Cuadrillas'!H11)+(('Resumen Cuadrillas'!C12&lt;=58)*('Resumen Cuadrillas'!D12&gt;=58)*'Resumen Cuadrillas'!H12)+(('Resumen Cuadrillas'!C13&lt;=58)*('Resumen Cuadrillas'!D13&gt;=58)*'Resumen Cuadrillas'!H13)+(('Resumen Cuadrillas'!C14&lt;=58)*('Resumen Cuadrillas'!D14&gt;=58)*'Resumen Cuadrillas'!H14)+(('Resumen Cuadrillas'!C15&lt;=58)*('Resumen Cuadrillas'!D15&gt;=58)*'Resumen Cuadrillas'!H15)+(('Resumen Cuadrillas'!C16&lt;=58)*('Resumen Cuadrillas'!D16&gt;=58)*'Resumen Cuadrillas'!H16)+(('Resumen Cuadrillas'!C17&lt;=58)*('Resumen Cuadrillas'!D17&gt;=58)*'Resumen Cuadrillas'!H17)</f>
        <v>1</v>
      </c>
    </row>
    <row r="62" customFormat="false" ht="15" hidden="false" customHeight="false" outlineLevel="0" collapsed="false">
      <c r="A62" s="0" t="n">
        <v>59</v>
      </c>
      <c r="B62" s="0" t="n">
        <f aca="false">(('Resumen Cuadrillas'!C4&lt;=59)*('Resumen Cuadrillas'!D4&gt;=59)*'Resumen Cuadrillas'!H4)+(('Resumen Cuadrillas'!C5&lt;=59)*('Resumen Cuadrillas'!D5&gt;=59)*'Resumen Cuadrillas'!H5)+(('Resumen Cuadrillas'!C6&lt;=59)*('Resumen Cuadrillas'!D6&gt;=59)*'Resumen Cuadrillas'!H6)+(('Resumen Cuadrillas'!C7&lt;=59)*('Resumen Cuadrillas'!D7&gt;=59)*'Resumen Cuadrillas'!H7)+(('Resumen Cuadrillas'!C8&lt;=59)*('Resumen Cuadrillas'!D8&gt;=59)*'Resumen Cuadrillas'!H8)+(('Resumen Cuadrillas'!C9&lt;=59)*('Resumen Cuadrillas'!D9&gt;=59)*'Resumen Cuadrillas'!H9)+(('Resumen Cuadrillas'!C10&lt;=59)*('Resumen Cuadrillas'!D10&gt;=59)*'Resumen Cuadrillas'!H10)+(('Resumen Cuadrillas'!C11&lt;=59)*('Resumen Cuadrillas'!D11&gt;=59)*'Resumen Cuadrillas'!H11)+(('Resumen Cuadrillas'!C12&lt;=59)*('Resumen Cuadrillas'!D12&gt;=59)*'Resumen Cuadrillas'!H12)+(('Resumen Cuadrillas'!C13&lt;=59)*('Resumen Cuadrillas'!D13&gt;=59)*'Resumen Cuadrillas'!H13)+(('Resumen Cuadrillas'!C14&lt;=59)*('Resumen Cuadrillas'!D14&gt;=59)*'Resumen Cuadrillas'!H14)+(('Resumen Cuadrillas'!C15&lt;=59)*('Resumen Cuadrillas'!D15&gt;=59)*'Resumen Cuadrillas'!H15)+(('Resumen Cuadrillas'!C16&lt;=59)*('Resumen Cuadrillas'!D16&gt;=59)*'Resumen Cuadrillas'!H16)+(('Resumen Cuadrillas'!C17&lt;=59)*('Resumen Cuadrillas'!D17&gt;=59)*'Resumen Cuadrillas'!H17)</f>
        <v>1</v>
      </c>
    </row>
    <row r="63" customFormat="false" ht="15" hidden="false" customHeight="false" outlineLevel="0" collapsed="false">
      <c r="A63" s="0" t="n">
        <v>60</v>
      </c>
      <c r="B63" s="0" t="n">
        <f aca="false">(('Resumen Cuadrillas'!C4&lt;=60)*('Resumen Cuadrillas'!D4&gt;=60)*'Resumen Cuadrillas'!H4)+(('Resumen Cuadrillas'!C5&lt;=60)*('Resumen Cuadrillas'!D5&gt;=60)*'Resumen Cuadrillas'!H5)+(('Resumen Cuadrillas'!C6&lt;=60)*('Resumen Cuadrillas'!D6&gt;=60)*'Resumen Cuadrillas'!H6)+(('Resumen Cuadrillas'!C7&lt;=60)*('Resumen Cuadrillas'!D7&gt;=60)*'Resumen Cuadrillas'!H7)+(('Resumen Cuadrillas'!C8&lt;=60)*('Resumen Cuadrillas'!D8&gt;=60)*'Resumen Cuadrillas'!H8)+(('Resumen Cuadrillas'!C9&lt;=60)*('Resumen Cuadrillas'!D9&gt;=60)*'Resumen Cuadrillas'!H9)+(('Resumen Cuadrillas'!C10&lt;=60)*('Resumen Cuadrillas'!D10&gt;=60)*'Resumen Cuadrillas'!H10)+(('Resumen Cuadrillas'!C11&lt;=60)*('Resumen Cuadrillas'!D11&gt;=60)*'Resumen Cuadrillas'!H11)+(('Resumen Cuadrillas'!C12&lt;=60)*('Resumen Cuadrillas'!D12&gt;=60)*'Resumen Cuadrillas'!H12)+(('Resumen Cuadrillas'!C13&lt;=60)*('Resumen Cuadrillas'!D13&gt;=60)*'Resumen Cuadrillas'!H13)+(('Resumen Cuadrillas'!C14&lt;=60)*('Resumen Cuadrillas'!D14&gt;=60)*'Resumen Cuadrillas'!H14)+(('Resumen Cuadrillas'!C15&lt;=60)*('Resumen Cuadrillas'!D15&gt;=60)*'Resumen Cuadrillas'!H15)+(('Resumen Cuadrillas'!C16&lt;=60)*('Resumen Cuadrillas'!D16&gt;=60)*'Resumen Cuadrillas'!H16)+(('Resumen Cuadrillas'!C17&lt;=60)*('Resumen Cuadrillas'!D17&gt;=60)*'Resumen Cuadrillas'!H17)</f>
        <v>1</v>
      </c>
    </row>
    <row r="65" customFormat="false" ht="15" hidden="false" customHeight="false" outlineLevel="0" collapsed="false">
      <c r="A65" s="25" t="s">
        <v>117</v>
      </c>
      <c r="B65" s="24" t="n">
        <f aca="false">MAX(B4:B63)</f>
        <v>28</v>
      </c>
    </row>
    <row r="66" customFormat="false" ht="15" hidden="false" customHeight="false" outlineLevel="0" collapsed="false">
      <c r="A66" s="25" t="s">
        <v>118</v>
      </c>
      <c r="B66" s="24" t="n">
        <f aca="false">AVERAGE(B4:B63)</f>
        <v>14.4166666666667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27" t="s">
        <v>119</v>
      </c>
      <c r="B1" s="27"/>
      <c r="C1" s="27"/>
    </row>
    <row r="2" customFormat="false" ht="15" hidden="false" customHeight="false" outlineLevel="0" collapsed="false">
      <c r="A2" s="2" t="s">
        <v>120</v>
      </c>
      <c r="B2" s="2"/>
      <c r="C2" s="2"/>
    </row>
    <row r="4" customFormat="false" ht="15" hidden="false" customHeight="false" outlineLevel="0" collapsed="false">
      <c r="A4" s="28" t="s">
        <v>121</v>
      </c>
      <c r="B4" s="28"/>
      <c r="C4" s="6"/>
      <c r="D4" s="6"/>
      <c r="E4" s="6"/>
    </row>
    <row r="5" customFormat="false" ht="15" hidden="false" customHeight="false" outlineLevel="0" collapsed="false">
      <c r="A5" s="29" t="s">
        <v>122</v>
      </c>
      <c r="B5" s="30" t="n">
        <v>84407369</v>
      </c>
      <c r="C5" s="6"/>
      <c r="D5" s="6"/>
      <c r="E5" s="6"/>
    </row>
    <row r="6" customFormat="false" ht="15" hidden="false" customHeight="false" outlineLevel="0" collapsed="false">
      <c r="A6" s="29" t="s">
        <v>123</v>
      </c>
      <c r="B6" s="31" t="n">
        <v>0.4</v>
      </c>
      <c r="C6" s="6"/>
      <c r="D6" s="6"/>
      <c r="E6" s="6"/>
    </row>
    <row r="7" customFormat="false" ht="15" hidden="false" customHeight="false" outlineLevel="0" collapsed="false">
      <c r="A7" s="29" t="s">
        <v>124</v>
      </c>
      <c r="B7" s="6" t="n">
        <f aca="false">B5*B6</f>
        <v>33762947.6</v>
      </c>
      <c r="C7" s="6"/>
      <c r="D7" s="6"/>
      <c r="E7" s="6"/>
    </row>
    <row r="8" customFormat="false" ht="15" hidden="false" customHeight="false" outlineLevel="0" collapsed="false">
      <c r="A8" s="29" t="s">
        <v>125</v>
      </c>
      <c r="B8" s="30" t="n">
        <v>35000</v>
      </c>
      <c r="C8" s="6"/>
      <c r="D8" s="6"/>
      <c r="E8" s="6"/>
    </row>
    <row r="9" customFormat="false" ht="15" hidden="false" customHeight="false" outlineLevel="0" collapsed="false">
      <c r="A9" s="29" t="s">
        <v>126</v>
      </c>
      <c r="B9" s="30" t="n">
        <v>60</v>
      </c>
      <c r="C9" s="6"/>
      <c r="D9" s="6"/>
      <c r="E9" s="6"/>
    </row>
    <row r="10" customFormat="false" ht="15" hidden="false" customHeight="false" outlineLevel="0" collapsed="false">
      <c r="A10" s="29" t="s">
        <v>127</v>
      </c>
      <c r="B10" s="6" t="n">
        <f aca="false">B9-ROUND(B9/7,0)</f>
        <v>51</v>
      </c>
      <c r="C10" s="6"/>
      <c r="D10" s="6"/>
      <c r="E10" s="6"/>
    </row>
    <row r="11" customFormat="false" ht="15" hidden="false" customHeight="false" outlineLevel="0" collapsed="false">
      <c r="A11" s="29" t="s">
        <v>128</v>
      </c>
      <c r="B11" s="6" t="n">
        <f aca="false">B7/B8</f>
        <v>964.655645714286</v>
      </c>
      <c r="C11" s="6"/>
      <c r="D11" s="6"/>
      <c r="E11" s="6"/>
    </row>
    <row r="12" customFormat="false" ht="15" hidden="false" customHeight="false" outlineLevel="0" collapsed="false">
      <c r="A12" s="29" t="s">
        <v>129</v>
      </c>
      <c r="B12" s="6" t="n">
        <f aca="false">B11/B10</f>
        <v>18.9148165826331</v>
      </c>
      <c r="C12" s="6"/>
      <c r="D12" s="6"/>
      <c r="E12" s="6"/>
    </row>
    <row r="13" customFormat="false" ht="15" hidden="false" customHeight="false" outlineLevel="0" collapsed="false">
      <c r="A13" s="29" t="s">
        <v>130</v>
      </c>
      <c r="B13" s="6" t="n">
        <f aca="false">'Resumen Cuadrillas'!B19</f>
        <v>583</v>
      </c>
      <c r="C13" s="6"/>
      <c r="D13" s="6"/>
      <c r="E13" s="6"/>
    </row>
    <row r="14" customFormat="false" ht="15" hidden="false" customHeight="false" outlineLevel="0" collapsed="false">
      <c r="A14" s="29" t="s">
        <v>131</v>
      </c>
      <c r="B14" s="6" t="n">
        <f aca="false">'Dotación Diaria'!B66</f>
        <v>14.4166666666667</v>
      </c>
      <c r="C14" s="6"/>
      <c r="D14" s="6"/>
      <c r="E14" s="6"/>
    </row>
    <row r="15" customFormat="false" ht="15" hidden="false" customHeight="false" outlineLevel="0" collapsed="false">
      <c r="A15" s="29" t="s">
        <v>132</v>
      </c>
      <c r="B15" s="6" t="n">
        <f aca="false">'Dotación Diaria'!B65</f>
        <v>28</v>
      </c>
      <c r="C15" s="6"/>
      <c r="D15" s="6"/>
      <c r="E15" s="6"/>
    </row>
    <row r="16" customFormat="false" ht="15" hidden="false" customHeight="false" outlineLevel="0" collapsed="false">
      <c r="A16" s="29" t="s">
        <v>133</v>
      </c>
      <c r="B16" s="6" t="n">
        <f aca="false">B11-B13</f>
        <v>381.655645714286</v>
      </c>
      <c r="C16" s="6"/>
      <c r="D16" s="6"/>
      <c r="E16" s="6"/>
    </row>
    <row r="17" customFormat="false" ht="15" hidden="false" customHeight="false" outlineLevel="0" collapsed="false">
      <c r="A17" s="29" t="s">
        <v>134</v>
      </c>
      <c r="B17" s="6" t="str">
        <f aca="false">IF(B11&gt;=B13,"SÍ, hay holgura","NO, excede lo que financian las partidas")</f>
        <v>SÍ, hay holgura</v>
      </c>
      <c r="C17" s="6"/>
      <c r="D17" s="6"/>
      <c r="E17" s="6"/>
    </row>
    <row r="18" customFormat="false" ht="15" hidden="false" customHeight="false" outlineLevel="0" collapsed="false">
      <c r="A18" s="6"/>
      <c r="B18" s="6"/>
      <c r="C18" s="6"/>
      <c r="D18" s="6"/>
      <c r="E18" s="6"/>
    </row>
    <row r="19" customFormat="false" ht="15" hidden="false" customHeight="false" outlineLevel="0" collapsed="false">
      <c r="A19" s="28" t="s">
        <v>135</v>
      </c>
      <c r="B19" s="28"/>
      <c r="C19" s="6"/>
      <c r="D19" s="6"/>
      <c r="E19" s="6"/>
    </row>
    <row r="20" customFormat="false" ht="15" hidden="false" customHeight="false" outlineLevel="0" collapsed="false">
      <c r="A20" s="29" t="s">
        <v>136</v>
      </c>
      <c r="B20" s="30" t="n">
        <v>23634063</v>
      </c>
      <c r="C20" s="6"/>
      <c r="D20" s="6"/>
      <c r="E20" s="6"/>
    </row>
    <row r="21" customFormat="false" ht="15" hidden="false" customHeight="false" outlineLevel="0" collapsed="false">
      <c r="A21" s="29" t="s">
        <v>137</v>
      </c>
      <c r="B21" s="31" t="n">
        <v>0.35</v>
      </c>
      <c r="C21" s="6"/>
      <c r="D21" s="6"/>
      <c r="E21" s="6"/>
    </row>
    <row r="22" customFormat="false" ht="15" hidden="false" customHeight="false" outlineLevel="0" collapsed="false">
      <c r="A22" s="29" t="s">
        <v>138</v>
      </c>
      <c r="B22" s="31" t="n">
        <v>0.4</v>
      </c>
      <c r="C22" s="6"/>
      <c r="D22" s="6"/>
      <c r="E22" s="6"/>
    </row>
    <row r="23" customFormat="false" ht="15" hidden="false" customHeight="false" outlineLevel="0" collapsed="false">
      <c r="A23" s="29" t="s">
        <v>139</v>
      </c>
      <c r="B23" s="31" t="n">
        <v>0.25</v>
      </c>
      <c r="C23" s="6"/>
      <c r="D23" s="6"/>
      <c r="E23" s="6"/>
    </row>
    <row r="24" customFormat="false" ht="15" hidden="false" customHeight="false" outlineLevel="0" collapsed="false">
      <c r="A24" s="29" t="s">
        <v>140</v>
      </c>
      <c r="B24" s="6" t="n">
        <f aca="false">B20*B21</f>
        <v>8271922.05</v>
      </c>
      <c r="C24" s="6"/>
      <c r="D24" s="6"/>
      <c r="E24" s="6"/>
    </row>
    <row r="25" customFormat="false" ht="15" hidden="false" customHeight="false" outlineLevel="0" collapsed="false">
      <c r="A25" s="29" t="s">
        <v>141</v>
      </c>
      <c r="B25" s="6" t="n">
        <f aca="false">B20*B22</f>
        <v>9453625.2</v>
      </c>
      <c r="C25" s="6"/>
      <c r="D25" s="6"/>
      <c r="E25" s="6"/>
    </row>
    <row r="26" customFormat="false" ht="15" hidden="false" customHeight="false" outlineLevel="0" collapsed="false">
      <c r="A26" s="29" t="s">
        <v>142</v>
      </c>
      <c r="B26" s="6" t="n">
        <f aca="false">B20*B23</f>
        <v>5908515.75</v>
      </c>
      <c r="C26" s="6"/>
      <c r="D26" s="6"/>
      <c r="E26" s="6"/>
    </row>
    <row r="27" customFormat="false" ht="15" hidden="false" customHeight="false" outlineLevel="0" collapsed="false">
      <c r="A27" s="6"/>
      <c r="B27" s="6"/>
      <c r="C27" s="6"/>
      <c r="D27" s="6"/>
      <c r="E27" s="6"/>
    </row>
    <row r="28" customFormat="false" ht="15" hidden="false" customHeight="false" outlineLevel="0" collapsed="false">
      <c r="A28" s="28" t="s">
        <v>143</v>
      </c>
      <c r="B28" s="28"/>
      <c r="C28" s="6"/>
      <c r="D28" s="6"/>
      <c r="E28" s="6"/>
    </row>
    <row r="29" customFormat="false" ht="32.8" hidden="false" customHeight="false" outlineLevel="0" collapsed="false">
      <c r="A29" s="32" t="s">
        <v>144</v>
      </c>
      <c r="B29" s="32" t="s">
        <v>145</v>
      </c>
      <c r="C29" s="32" t="s">
        <v>146</v>
      </c>
      <c r="D29" s="32" t="s">
        <v>147</v>
      </c>
      <c r="E29" s="32" t="s">
        <v>148</v>
      </c>
    </row>
    <row r="30" customFormat="false" ht="15" hidden="false" customHeight="false" outlineLevel="0" collapsed="false">
      <c r="A30" s="33" t="s">
        <v>149</v>
      </c>
      <c r="B30" s="33" t="s">
        <v>12</v>
      </c>
      <c r="C30" s="34" t="n">
        <v>45000</v>
      </c>
      <c r="D30" s="6" t="n">
        <f aca="false">'Resumen Cuadrillas'!I4</f>
        <v>8</v>
      </c>
      <c r="E30" s="6" t="n">
        <f aca="false">C30*D30</f>
        <v>360000</v>
      </c>
    </row>
    <row r="31" customFormat="false" ht="15" hidden="false" customHeight="false" outlineLevel="0" collapsed="false">
      <c r="A31" s="33" t="s">
        <v>150</v>
      </c>
      <c r="B31" s="33" t="s">
        <v>23</v>
      </c>
      <c r="C31" s="34" t="n">
        <v>35000</v>
      </c>
      <c r="D31" s="6" t="n">
        <f aca="false">'Resumen Cuadrillas'!I5</f>
        <v>9</v>
      </c>
      <c r="E31" s="6" t="n">
        <f aca="false">C31*D31</f>
        <v>315000</v>
      </c>
    </row>
    <row r="32" customFormat="false" ht="15" hidden="false" customHeight="false" outlineLevel="0" collapsed="false">
      <c r="A32" s="33" t="s">
        <v>151</v>
      </c>
      <c r="B32" s="33" t="s">
        <v>41</v>
      </c>
      <c r="C32" s="34" t="n">
        <v>20000</v>
      </c>
      <c r="D32" s="6" t="n">
        <f aca="false">'Resumen Cuadrillas'!I6</f>
        <v>2</v>
      </c>
      <c r="E32" s="6" t="n">
        <f aca="false">C32*D32</f>
        <v>40000</v>
      </c>
    </row>
    <row r="33" customFormat="false" ht="15" hidden="false" customHeight="false" outlineLevel="0" collapsed="false">
      <c r="A33" s="33" t="s">
        <v>152</v>
      </c>
      <c r="B33" s="33" t="s">
        <v>60</v>
      </c>
      <c r="C33" s="34" t="n">
        <v>30000</v>
      </c>
      <c r="D33" s="6" t="n">
        <f aca="false">'Resumen Cuadrillas'!I9</f>
        <v>4</v>
      </c>
      <c r="E33" s="6" t="n">
        <f aca="false">C33*D33</f>
        <v>120000</v>
      </c>
    </row>
    <row r="34" customFormat="false" ht="15" hidden="false" customHeight="false" outlineLevel="0" collapsed="false">
      <c r="A34" s="33" t="s">
        <v>153</v>
      </c>
      <c r="B34" s="33" t="s">
        <v>93</v>
      </c>
      <c r="C34" s="34" t="n">
        <v>60000</v>
      </c>
      <c r="D34" s="6" t="n">
        <f aca="false">'Resumen Cuadrillas'!I15</f>
        <v>26</v>
      </c>
      <c r="E34" s="6" t="n">
        <f aca="false">C34*D34</f>
        <v>1560000</v>
      </c>
    </row>
    <row r="35" customFormat="false" ht="15" hidden="false" customHeight="false" outlineLevel="0" collapsed="false">
      <c r="A35" s="33" t="s">
        <v>154</v>
      </c>
      <c r="B35" s="33" t="s">
        <v>64</v>
      </c>
      <c r="C35" s="34" t="n">
        <v>50000</v>
      </c>
      <c r="D35" s="6" t="n">
        <f aca="false">'Resumen Cuadrillas'!I10</f>
        <v>13</v>
      </c>
      <c r="E35" s="6" t="n">
        <f aca="false">C35*D35</f>
        <v>650000</v>
      </c>
    </row>
    <row r="36" customFormat="false" ht="15" hidden="false" customHeight="false" outlineLevel="0" collapsed="false">
      <c r="A36" s="33" t="s">
        <v>155</v>
      </c>
      <c r="B36" s="33" t="s">
        <v>156</v>
      </c>
      <c r="C36" s="34" t="n">
        <v>15000</v>
      </c>
      <c r="D36" s="6" t="n">
        <v>60</v>
      </c>
      <c r="E36" s="6" t="n">
        <f aca="false">C36*D36</f>
        <v>900000</v>
      </c>
    </row>
    <row r="37" customFormat="false" ht="15" hidden="false" customHeight="false" outlineLevel="0" collapsed="false">
      <c r="A37" s="35" t="s">
        <v>157</v>
      </c>
      <c r="B37" s="6"/>
      <c r="C37" s="6"/>
      <c r="D37" s="6"/>
      <c r="E37" s="6" t="n">
        <f aca="false">SUM(E30:E36)</f>
        <v>3945000</v>
      </c>
    </row>
    <row r="38" customFormat="false" ht="15" hidden="false" customHeight="false" outlineLevel="0" collapsed="false">
      <c r="A38" s="35" t="s">
        <v>158</v>
      </c>
      <c r="B38" s="6" t="str">
        <f aca="false">IF(B24&gt;=E37,"SÍ, hay holgura","NO, el programa requiere más maquinaria que lo presupuestado en GG")</f>
        <v>SÍ, hay holgura</v>
      </c>
      <c r="C38" s="6"/>
      <c r="D38" s="6"/>
      <c r="E38" s="6"/>
    </row>
  </sheetData>
  <mergeCells count="5">
    <mergeCell ref="A1:C1"/>
    <mergeCell ref="A2:C2"/>
    <mergeCell ref="A4:B4"/>
    <mergeCell ref="A19:B19"/>
    <mergeCell ref="A28:B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2026-06-24T02:46:45Z</dcterms:created>
  <dc:creator>openpyxl</dc:creator>
  <dc:description/>
  <dc:language>en-US</dc:language>
  <cp:lastModifiedBy/>
  <dcterms:modified xsi:type="dcterms:W3CDTF">2026-06-24T02:46:49Z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