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6079c7bc006aa687/Documentos/2026/CIID SPA/COTIZACIONES 2026/1100 DOÑA CARNE REMODELACION/"/>
    </mc:Choice>
  </mc:AlternateContent>
  <xr:revisionPtr revIDLastSave="0" documentId="8_{6A54B584-2478-41EA-AF3C-57CEA084F865}" xr6:coauthVersionLast="47" xr6:coauthVersionMax="47" xr10:uidLastSave="{00000000-0000-0000-0000-000000000000}"/>
  <bookViews>
    <workbookView xWindow="-98" yWindow="-98" windowWidth="21795" windowHeight="12975" tabRatio="500" xr2:uid="{00000000-000D-0000-FFFF-FFFF00000000}"/>
  </bookViews>
  <sheets>
    <sheet name="Presupuesto" sheetId="1" r:id="rId1"/>
    <sheet name="Notas y Exclusiones" sheetId="2" r:id="rId2"/>
  </sheets>
  <definedNames>
    <definedName name="_xlnm.Print_Area" localSheetId="0">Presupuesto!$A$1:$H$67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58" i="1" l="1"/>
  <c r="G57" i="1"/>
  <c r="G48" i="1"/>
  <c r="G29" i="1"/>
  <c r="G28" i="1"/>
  <c r="G25" i="1"/>
  <c r="G24" i="1"/>
  <c r="G23" i="1"/>
  <c r="G20" i="1"/>
  <c r="G18" i="1"/>
  <c r="G13" i="1"/>
  <c r="G7" i="1"/>
  <c r="G6" i="1"/>
  <c r="F59" i="1"/>
  <c r="F58" i="1"/>
  <c r="F57" i="1"/>
  <c r="F60" i="1"/>
  <c r="F52" i="1"/>
  <c r="F53" i="1"/>
  <c r="F54" i="1"/>
  <c r="F46" i="1"/>
  <c r="F47" i="1"/>
  <c r="F48" i="1"/>
  <c r="F49" i="1"/>
  <c r="F38" i="1"/>
  <c r="F39" i="1"/>
  <c r="F40" i="1"/>
  <c r="F41" i="1"/>
  <c r="F42" i="1"/>
  <c r="F43" i="1"/>
  <c r="F37" i="1"/>
  <c r="F33" i="1"/>
  <c r="F34" i="1"/>
  <c r="F35" i="1"/>
  <c r="F23" i="1"/>
  <c r="F24" i="1"/>
  <c r="F25" i="1"/>
  <c r="F26" i="1"/>
  <c r="F27" i="1"/>
  <c r="F28" i="1"/>
  <c r="F29" i="1"/>
  <c r="F30" i="1"/>
  <c r="F6" i="1"/>
  <c r="F7" i="1"/>
  <c r="F8" i="1"/>
  <c r="F9" i="1"/>
  <c r="F10" i="1"/>
  <c r="F11" i="1"/>
  <c r="F13" i="1"/>
  <c r="F14" i="1"/>
  <c r="F15" i="1"/>
  <c r="F16" i="1"/>
  <c r="F17" i="1"/>
  <c r="F19" i="1"/>
  <c r="F20" i="1"/>
  <c r="F12" i="1"/>
  <c r="D18" i="1"/>
  <c r="F18" i="1" s="1"/>
  <c r="F22" i="1"/>
  <c r="F56" i="1"/>
  <c r="F51" i="1"/>
  <c r="F45" i="1"/>
  <c r="F32" i="1"/>
  <c r="F5" i="1"/>
  <c r="F62" i="1" l="1"/>
  <c r="F64" i="1" l="1"/>
  <c r="F63" i="1"/>
  <c r="F65" i="1" l="1"/>
  <c r="F66" i="1" s="1"/>
  <c r="F67" i="1" s="1"/>
</calcChain>
</file>

<file path=xl/sharedStrings.xml><?xml version="1.0" encoding="utf-8"?>
<sst xmlns="http://schemas.openxmlformats.org/spreadsheetml/2006/main" count="161" uniqueCount="115">
  <si>
    <t>PRESUPUESTO DE OBRA — PARTIDAS A COTIZAR — PROYECTO DOÑA CARNE MANQUEHUE 1</t>
  </si>
  <si>
    <t>N°</t>
  </si>
  <si>
    <t>Partida</t>
  </si>
  <si>
    <t>Unidad</t>
  </si>
  <si>
    <t>Cantidad</t>
  </si>
  <si>
    <t>Precio Unit. (CLP)</t>
  </si>
  <si>
    <t>Subtotal (CLP)</t>
  </si>
  <si>
    <t>A. DEMOLICIONES Y RETIROS</t>
  </si>
  <si>
    <t>m²</t>
  </si>
  <si>
    <t>B. ESTRUCTURA Y TABIQUERÍA NUEVA</t>
  </si>
  <si>
    <t>kg</t>
  </si>
  <si>
    <t>D. TERMINACIONES DE PISO</t>
  </si>
  <si>
    <t>F. PINTURA</t>
  </si>
  <si>
    <t>Pintura completa interior (esmalte al agua, color blanco)</t>
  </si>
  <si>
    <t>Pintura intumescente del refuerzo estructural</t>
  </si>
  <si>
    <t>G. HOJALATERÍA Y CUBIERTA</t>
  </si>
  <si>
    <t>Hojalatería — Forro coronación acero galvanizado prepintado 0,4mm</t>
  </si>
  <si>
    <t>gl</t>
  </si>
  <si>
    <t>Global por reparación de cubierta</t>
  </si>
  <si>
    <t>NOTAS GENERALES</t>
  </si>
  <si>
    <t>Esta cubicación corresponde a partidas de OBRA CIVIL/CONSTRUCCIÓN para enviar a cotizar a contratistas.</t>
  </si>
  <si>
    <t>Por instrucción del mandante, NO se incluyen partidas de proyectos de especialidades ya definidos: proyecto eléctrico, proyecto sanitario (instalación de cañerías/artefactos), corrientes débiles, ni climatización. Sólo se incluyó la obra civil asociada (ej. rotura de pavimento para paso de alcantarillado).</t>
  </si>
  <si>
    <t>Fuente de las cantidades: set de planos de arquitectura 296-RE-DCM-PRO-V02 (LAM001-LAM011) + planos sanitarios ALC/AP (2024) + archivo DXF/DWG de arquitectura. Ver carpeta 'cubicacion/' del proyecto para el detalle completo lámina por lámina.</t>
  </si>
  <si>
    <t>IMPORTANTE — SOBRE LOS PRECIOS UNITARIOS</t>
  </si>
  <si>
    <t>Los precios unitarios de este documento son REFERENCIALES, obtenidos de búsquedas de mercado en internet (portales de presupuesto, generadores de precios tipo CYPE Chile, proveedores) en junio de 2026. NO son cotizaciones formales de un contratista para este proyecto específico.</t>
  </si>
  <si>
    <t>Sirven como orden de magnitud para evaluar las cotizaciones reales que reciba el mandante, y para tener una primera estimación de monto total antes de salir a cotizar — no para comprometer un presupuesto final ante el cliente/operador.</t>
  </si>
  <si>
    <t>Varios ítems quedaron sin precio ('Por confirmar' / 'Por definir') porque dependen de información que no está disponible en los planos actuales (cálculo estructural) o porque el propio plano indica que el alcance lo define el mandante (ej. revestimiento exterior PV7).</t>
  </si>
  <si>
    <t>Los precios pueden variar significativamente según comuna, proveedor, condiciones de acceso/faena, y volumen — la variabilidad de mercado encontrada en varias partidas fue de 2x a 5x entre el mínimo y el máximo.</t>
  </si>
  <si>
    <t>NIVELES DE CONFIANZA (columna Confianza)</t>
  </si>
  <si>
    <t>Alta: dato medido directamente desde geometría real (DXF) o cota explícita del plano.</t>
  </si>
  <si>
    <t>Media: dato calculado a partir de un área/cota real del plano combinado con un supuesto razonable (ej. altura no cotada explícitamente), o precio dentro de un rango de mercado bien documentado.</t>
  </si>
  <si>
    <t>Baja: estimación visual u orden de magnitud sin cota/geometría exacta, o precio sin una fuente de mercado chilena específica encontrada — requiere confirmación antes de comprometer una cifra formal.</t>
  </si>
  <si>
    <t>PARTIDAS PENDIENTES DE INFORMACIÓN ADICIONAL (sin precio)</t>
  </si>
  <si>
    <t>Estructura de refuerzo del altillo y su pintura intumescente: requieren la memoria de cálculo estructural, que NO está incluida en el set de planos disponible.</t>
  </si>
  <si>
    <t>Radón sanitario: no se encontró ninguna referencia en los planos. Verificar con normativa OGUC/NCh vigente y con el arquitecto si aplica.</t>
  </si>
  <si>
    <t>Revestimiento exterior PV7 y Global de reparación de cubierta: alcance a definir por el mandante / en terreno, sin base de cubicación en los planos.</t>
  </si>
  <si>
    <t>Estructura exterior soporte de equipos: peso y detalle 'según cálculo' estructural, no disponible.</t>
  </si>
  <si>
    <t>CORRECCIÓN RESPECTO A UNA ESTIMACIÓN PRELIMINAR ANTERIOR</t>
  </si>
  <si>
    <t>Una primera estimación preliminar de volcanita había usado la longitud TOTAL de tabiques del DXF (142,98 m) sin separar los paneles de cámara de frío (POL1/PUR2). Tras confirmar visualmente en LAM011 que aproximadamente 66 m de esa longitud son en realidad paneles de cámara (no yeso cartón), la cifra de volcanita para tabiquería se corrigió a la baja (sección B), y los paneles de cámara quedaron como partida separada (sección C).</t>
  </si>
  <si>
    <t>Fuentes de precios citadas por partida: ver columna 'Observaciones / Supuestos / Fuente del precio' de la hoja Presupuesto.</t>
  </si>
  <si>
    <t>m2</t>
  </si>
  <si>
    <t>Tabiqueria interior tipo TV3</t>
  </si>
  <si>
    <t>Tabiqueria interior tipo TVH4</t>
  </si>
  <si>
    <t>Tabiqueria interior tipo TRF5</t>
  </si>
  <si>
    <t>Tabiqueria interior tipo TVS6</t>
  </si>
  <si>
    <t>Tabiqueria interior tipo TVC8</t>
  </si>
  <si>
    <t>Picado de 6 cm en toda el area de baldosa Budnik</t>
  </si>
  <si>
    <t>D. CIELOS</t>
  </si>
  <si>
    <t>Paneles de muro Isopol POL1</t>
  </si>
  <si>
    <t>Paneles de muro Isopur PUR2</t>
  </si>
  <si>
    <t xml:space="preserve">Cielos tipo CV1 </t>
  </si>
  <si>
    <t>Cielos tipo CV2</t>
  </si>
  <si>
    <t>Cielo tipo Modular CM3</t>
  </si>
  <si>
    <t>Cielo RF-120, tipo CF4</t>
  </si>
  <si>
    <t>Cielo Panel Kover 50 CK5</t>
  </si>
  <si>
    <t>Cielo Panel Isopol 100 CPO6</t>
  </si>
  <si>
    <t>Cielo Panel Isopur 100 CPU</t>
  </si>
  <si>
    <t>Armadura de refuerzo piso camara de congelados</t>
  </si>
  <si>
    <t>Zocalo para paneles de Hormigon armado con cadena</t>
  </si>
  <si>
    <t>Radón sanitario terminacion 90°</t>
  </si>
  <si>
    <t>ml</t>
  </si>
  <si>
    <t>Retiro de piso flotante existente 1er Nivel</t>
  </si>
  <si>
    <t>Retiro de piso flotante existente 2do nivel</t>
  </si>
  <si>
    <t>Rotura de pavimento para paso de alcantarillado</t>
  </si>
  <si>
    <t>Reposición de pavimento para paso de alcantarillado</t>
  </si>
  <si>
    <t>Retiro de cielo americano (modular) existente 1er Piso</t>
  </si>
  <si>
    <t>Retiro de cielo americano (modular) existente 2do Piso</t>
  </si>
  <si>
    <t>Rotura piso hormigon Sala de congelados H=0,6m</t>
  </si>
  <si>
    <t>m3</t>
  </si>
  <si>
    <t>Suministo e instalacion de baldosa Budnik PB1</t>
  </si>
  <si>
    <t>Revestimiento de piso (Grada Estriada) — Pavimento Vinílico 2do Piso PV3</t>
  </si>
  <si>
    <t>Gradas Estriadas zona escalera PG2</t>
  </si>
  <si>
    <t>Radier afinado area residuos y bodega de acceso PR2</t>
  </si>
  <si>
    <t>Tabique cierre ventana 2do Nivel</t>
  </si>
  <si>
    <t>Cenefa shaft para paso de alcantarillado, tabiqueria</t>
  </si>
  <si>
    <t xml:space="preserve"> Revestimiento exterior plancha galvanizada 0,4mm (PV7)</t>
  </si>
  <si>
    <t>Instalacion paneles de cielo y muro</t>
  </si>
  <si>
    <t>Subtotal</t>
  </si>
  <si>
    <t xml:space="preserve">Gatos Generales </t>
  </si>
  <si>
    <t xml:space="preserve">Utilidades </t>
  </si>
  <si>
    <t>Subtotal Neto</t>
  </si>
  <si>
    <t>IVA</t>
  </si>
  <si>
    <t>TOTAL</t>
  </si>
  <si>
    <t>C. PANELES CÁMARA DE FRÍO (muros +  piso)</t>
  </si>
  <si>
    <t>Instalacion panel de piso bajo Losa</t>
  </si>
  <si>
    <t>Estructura metalica refuerzo 2do Nivel</t>
  </si>
  <si>
    <t>Estructura metalica soporte equipos exteriores</t>
  </si>
  <si>
    <t>Anticorrosivo refuerzo estructural + soporte exterior equipos</t>
  </si>
  <si>
    <t>Pintura terminacion refuerzo estructural + soporte exterior equipos</t>
  </si>
  <si>
    <t xml:space="preserve">Barrera de vapor </t>
  </si>
  <si>
    <t>Hormigon piso sala de congelados e=100mm</t>
  </si>
  <si>
    <t>Hormigon Subsuelo base camara de frio</t>
  </si>
  <si>
    <t>Panel de piso Isopur bajo losa, sala congelados e=150mm</t>
  </si>
  <si>
    <t>Angulo de aluminio para montaje de paneles</t>
  </si>
  <si>
    <t>Suministro e Instalación de cerámico en muros Zona TVH4</t>
  </si>
  <si>
    <t>Montaje revestimiento exterior plancha galvanizada</t>
  </si>
  <si>
    <t>Plataforma metálica para equipos de aire (metal desplegado)</t>
  </si>
  <si>
    <t>retiro de escombros</t>
  </si>
  <si>
    <t>que cantidad de m3 de hormigon</t>
  </si>
  <si>
    <t>Fierro?</t>
  </si>
  <si>
    <t>de que tipo</t>
  </si>
  <si>
    <t>es panel o solo aislapol</t>
  </si>
  <si>
    <t xml:space="preserve">cuanto hormigon y que calidad </t>
  </si>
  <si>
    <t xml:space="preserve">50xx3 mm </t>
  </si>
  <si>
    <t>que tipo de panel es</t>
  </si>
  <si>
    <t>se fabrica insitu o se envia fabricado</t>
  </si>
  <si>
    <t>es empernada o soldada en terreno</t>
  </si>
  <si>
    <t>es pre-fabricada</t>
  </si>
  <si>
    <t>se pulun al final ?</t>
  </si>
  <si>
    <t>se considero algun puente adherente</t>
  </si>
  <si>
    <t xml:space="preserve">se considero latex y cuantas manos se consideraron </t>
  </si>
  <si>
    <t xml:space="preserve">que espesor </t>
  </si>
  <si>
    <t xml:space="preserve">se arena la estructura </t>
  </si>
  <si>
    <t>es epoxica</t>
  </si>
  <si>
    <t xml:space="preserve">es para chaf de segundo piso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</si>
</sst>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 &quot;$&quot;* #,##0_ ;_ &quot;$&quot;* \-#,##0_ ;_ &quot;$&quot;* &quot;-&quot;_ ;_ @_ "/>
    <numFmt numFmtId="164" formatCode="0.0"/>
    <numFmt numFmtId="165" formatCode="\$#,##0"/>
  </numFmts>
  <fonts count="9" x14ac:knownFonts="1">
    <font>
      <sz val="11"/>
      <color theme="1"/>
      <name val="Calibri"/>
      <family val="2"/>
      <charset val="1"/>
    </font>
    <font>
      <sz val="10"/>
      <name val="Arial"/>
      <family val="2"/>
    </font>
    <font>
      <b/>
      <sz val="14"/>
      <color rgb="FF1F4E78"/>
      <name val="Arial"/>
      <family val="2"/>
    </font>
    <font>
      <b/>
      <sz val="10"/>
      <color rgb="FFFFFFFF"/>
      <name val="Arial"/>
      <family val="2"/>
    </font>
    <font>
      <b/>
      <sz val="11"/>
      <color rgb="FF1F4E78"/>
      <name val="Arial"/>
      <family val="2"/>
    </font>
    <font>
      <sz val="10"/>
      <name val="Arial"/>
      <family val="2"/>
    </font>
    <font>
      <b/>
      <sz val="11"/>
      <name val="Arial"/>
      <family val="2"/>
    </font>
    <font>
      <b/>
      <sz val="12"/>
      <color rgb="FF1F4E78"/>
      <name val="Arial"/>
      <family val="2"/>
    </font>
    <font>
      <sz val="8"/>
      <name val="Calibri"/>
      <family val="2"/>
      <charset val="1"/>
    </font>
  </fonts>
  <fills count="6">
    <fill>
      <patternFill patternType="none"/>
    </fill>
    <fill>
      <patternFill patternType="gray125"/>
    </fill>
    <fill>
      <patternFill patternType="solid">
        <fgColor rgb="FF1F4E78"/>
        <bgColor rgb="FF003366"/>
      </patternFill>
    </fill>
    <fill>
      <patternFill patternType="solid">
        <fgColor rgb="FFD9E1F2"/>
        <bgColor rgb="FFC6E0B4"/>
      </patternFill>
    </fill>
    <fill>
      <patternFill patternType="solid">
        <fgColor rgb="FFC6E0B4"/>
        <bgColor rgb="FFD9E1F2"/>
      </patternFill>
    </fill>
    <fill>
      <patternFill patternType="solid">
        <fgColor rgb="FFFFFF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42" fontId="1" fillId="0" borderId="0" applyBorder="0" applyAlignment="0" applyProtection="0"/>
  </cellStyleXfs>
  <cellXfs count="20">
    <xf numFmtId="0" fontId="0" fillId="0" borderId="0" xfId="0"/>
    <xf numFmtId="0" fontId="3" fillId="2" borderId="1" xfId="0" applyFont="1" applyFill="1" applyBorder="1" applyAlignment="1">
      <alignment horizontal="center" vertical="center" wrapText="1"/>
    </xf>
    <xf numFmtId="0" fontId="5" fillId="0" borderId="1" xfId="0" applyFont="1" applyBorder="1" applyAlignment="1">
      <alignment vertical="center"/>
    </xf>
    <xf numFmtId="164" fontId="5" fillId="0" borderId="1" xfId="0" applyNumberFormat="1" applyFont="1" applyBorder="1" applyAlignment="1">
      <alignment vertical="center"/>
    </xf>
    <xf numFmtId="165" fontId="5" fillId="0" borderId="1" xfId="0" applyNumberFormat="1" applyFont="1" applyBorder="1" applyAlignment="1">
      <alignment vertical="center"/>
    </xf>
    <xf numFmtId="0" fontId="7" fillId="0" borderId="0" xfId="0" applyFont="1" applyAlignment="1">
      <alignment vertical="top" wrapText="1"/>
    </xf>
    <xf numFmtId="0" fontId="5" fillId="0" borderId="0" xfId="0" applyFont="1" applyAlignment="1">
      <alignment vertical="top" wrapText="1"/>
    </xf>
    <xf numFmtId="0" fontId="5" fillId="5" borderId="1" xfId="0" applyFont="1" applyFill="1" applyBorder="1" applyAlignment="1">
      <alignment vertical="center"/>
    </xf>
    <xf numFmtId="165" fontId="5" fillId="5" borderId="1" xfId="0" applyNumberFormat="1" applyFont="1" applyFill="1" applyBorder="1" applyAlignment="1">
      <alignment vertical="center"/>
    </xf>
    <xf numFmtId="0" fontId="0" fillId="5" borderId="0" xfId="0" applyFill="1"/>
    <xf numFmtId="9" fontId="0" fillId="0" borderId="0" xfId="0" applyNumberFormat="1"/>
    <xf numFmtId="42" fontId="1" fillId="0" borderId="1" xfId="1" applyBorder="1"/>
    <xf numFmtId="42" fontId="1" fillId="0" borderId="0" xfId="1"/>
    <xf numFmtId="42" fontId="1" fillId="0" borderId="1" xfId="1" applyBorder="1" applyAlignment="1">
      <alignment vertical="center"/>
    </xf>
    <xf numFmtId="1" fontId="5" fillId="0" borderId="1" xfId="0" applyNumberFormat="1" applyFont="1" applyBorder="1" applyAlignment="1">
      <alignment vertical="center"/>
    </xf>
    <xf numFmtId="1" fontId="5" fillId="5" borderId="1" xfId="0" applyNumberFormat="1" applyFont="1" applyFill="1" applyBorder="1" applyAlignment="1">
      <alignment vertical="center"/>
    </xf>
    <xf numFmtId="42" fontId="1" fillId="5" borderId="1" xfId="1" applyFill="1" applyBorder="1" applyAlignment="1">
      <alignment vertical="center"/>
    </xf>
    <xf numFmtId="0" fontId="4" fillId="3" borderId="1" xfId="0" applyFont="1" applyFill="1" applyBorder="1"/>
    <xf numFmtId="0" fontId="6" fillId="4" borderId="1" xfId="0" applyFont="1" applyFill="1" applyBorder="1"/>
    <xf numFmtId="0" fontId="2" fillId="0" borderId="0" xfId="0" applyFont="1"/>
  </cellXfs>
  <cellStyles count="2">
    <cellStyle name="Moneda [0]" xfId="1" builtinId="7"/>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7"/>
  <sheetViews>
    <sheetView tabSelected="1" view="pageBreakPreview" zoomScale="130" zoomScaleNormal="100" zoomScaleSheetLayoutView="100" workbookViewId="0">
      <pane ySplit="3" topLeftCell="A47" activePane="bottomLeft" state="frozen"/>
      <selection pane="bottomLeft" activeCell="G62" sqref="G62"/>
    </sheetView>
  </sheetViews>
  <sheetFormatPr baseColWidth="10" defaultColWidth="8.6640625" defaultRowHeight="14.25" x14ac:dyDescent="0.45"/>
  <cols>
    <col min="1" max="1" width="5" customWidth="1"/>
    <col min="2" max="2" width="66.796875" customWidth="1"/>
    <col min="3" max="3" width="9" customWidth="1"/>
    <col min="4" max="4" width="14.46484375" customWidth="1"/>
    <col min="5" max="5" width="11.6640625" customWidth="1"/>
    <col min="6" max="6" width="15" customWidth="1"/>
  </cols>
  <sheetData>
    <row r="1" spans="1:8" ht="21.75" customHeight="1" x14ac:dyDescent="0.5">
      <c r="A1" s="19" t="s">
        <v>0</v>
      </c>
      <c r="B1" s="19"/>
      <c r="C1" s="19"/>
      <c r="D1" s="19"/>
      <c r="E1" s="19"/>
      <c r="F1" s="19"/>
    </row>
    <row r="3" spans="1:8" ht="31.5" customHeight="1" x14ac:dyDescent="0.45">
      <c r="A3" s="1" t="s">
        <v>1</v>
      </c>
      <c r="B3" s="1" t="s">
        <v>2</v>
      </c>
      <c r="C3" s="1" t="s">
        <v>3</v>
      </c>
      <c r="D3" s="1" t="s">
        <v>4</v>
      </c>
      <c r="E3" s="1" t="s">
        <v>5</v>
      </c>
      <c r="F3" s="1" t="s">
        <v>6</v>
      </c>
    </row>
    <row r="4" spans="1:8" x14ac:dyDescent="0.45">
      <c r="A4" s="17" t="s">
        <v>7</v>
      </c>
      <c r="B4" s="17"/>
      <c r="C4" s="17"/>
      <c r="D4" s="17"/>
      <c r="E4" s="17"/>
      <c r="F4" s="17"/>
    </row>
    <row r="5" spans="1:8" x14ac:dyDescent="0.45">
      <c r="A5" s="2">
        <v>1</v>
      </c>
      <c r="B5" s="2" t="s">
        <v>61</v>
      </c>
      <c r="C5" s="2" t="s">
        <v>40</v>
      </c>
      <c r="D5" s="14">
        <v>301</v>
      </c>
      <c r="E5" s="4">
        <v>5500</v>
      </c>
      <c r="F5" s="4">
        <f>D5*E5</f>
        <v>1655500</v>
      </c>
      <c r="G5" t="s">
        <v>97</v>
      </c>
    </row>
    <row r="6" spans="1:8" x14ac:dyDescent="0.45">
      <c r="A6" s="2">
        <v>2</v>
      </c>
      <c r="B6" s="2" t="s">
        <v>62</v>
      </c>
      <c r="C6" s="2" t="s">
        <v>40</v>
      </c>
      <c r="D6" s="14">
        <v>49</v>
      </c>
      <c r="E6" s="4">
        <v>5500</v>
      </c>
      <c r="F6" s="4">
        <f t="shared" ref="F6:F20" si="0">D6*E6</f>
        <v>269500</v>
      </c>
      <c r="G6" t="str">
        <f>+G5</f>
        <v>retiro de escombros</v>
      </c>
    </row>
    <row r="7" spans="1:8" ht="37.049999999999997" customHeight="1" x14ac:dyDescent="0.45">
      <c r="A7" s="2">
        <v>3</v>
      </c>
      <c r="B7" s="2" t="s">
        <v>63</v>
      </c>
      <c r="C7" s="2" t="s">
        <v>40</v>
      </c>
      <c r="D7" s="14">
        <v>36</v>
      </c>
      <c r="E7" s="4">
        <v>32000</v>
      </c>
      <c r="F7" s="4">
        <f t="shared" si="0"/>
        <v>1152000</v>
      </c>
      <c r="G7" t="str">
        <f>+G6</f>
        <v>retiro de escombros</v>
      </c>
    </row>
    <row r="8" spans="1:8" ht="37.049999999999997" customHeight="1" x14ac:dyDescent="0.45">
      <c r="A8" s="2">
        <v>4</v>
      </c>
      <c r="B8" s="2" t="s">
        <v>64</v>
      </c>
      <c r="C8" s="2" t="s">
        <v>40</v>
      </c>
      <c r="D8" s="14">
        <v>36</v>
      </c>
      <c r="E8" s="4">
        <v>38000</v>
      </c>
      <c r="F8" s="4">
        <f t="shared" si="0"/>
        <v>1368000</v>
      </c>
      <c r="G8" t="s">
        <v>98</v>
      </c>
    </row>
    <row r="9" spans="1:8" x14ac:dyDescent="0.45">
      <c r="A9" s="2">
        <v>5</v>
      </c>
      <c r="B9" s="2" t="s">
        <v>65</v>
      </c>
      <c r="C9" s="2" t="s">
        <v>40</v>
      </c>
      <c r="D9" s="14">
        <v>137</v>
      </c>
      <c r="E9" s="4">
        <v>5500</v>
      </c>
      <c r="F9" s="4">
        <f t="shared" si="0"/>
        <v>753500</v>
      </c>
      <c r="G9" t="s">
        <v>97</v>
      </c>
    </row>
    <row r="10" spans="1:8" ht="36" customHeight="1" x14ac:dyDescent="0.45">
      <c r="A10" s="2">
        <v>6</v>
      </c>
      <c r="B10" s="2" t="s">
        <v>66</v>
      </c>
      <c r="C10" s="2" t="s">
        <v>40</v>
      </c>
      <c r="D10" s="14">
        <v>49</v>
      </c>
      <c r="E10" s="4">
        <v>5500</v>
      </c>
      <c r="F10" s="4">
        <f t="shared" si="0"/>
        <v>269500</v>
      </c>
      <c r="G10" t="s">
        <v>97</v>
      </c>
    </row>
    <row r="11" spans="1:8" s="9" customFormat="1" ht="36" customHeight="1" x14ac:dyDescent="0.45">
      <c r="A11" s="7">
        <v>7</v>
      </c>
      <c r="B11" s="7" t="s">
        <v>46</v>
      </c>
      <c r="C11" s="7" t="s">
        <v>40</v>
      </c>
      <c r="D11" s="15">
        <v>285</v>
      </c>
      <c r="E11" s="8">
        <v>5500</v>
      </c>
      <c r="F11" s="8">
        <f t="shared" si="0"/>
        <v>1567500</v>
      </c>
      <c r="G11" t="s">
        <v>97</v>
      </c>
      <c r="H11"/>
    </row>
    <row r="12" spans="1:8" x14ac:dyDescent="0.45">
      <c r="A12" s="2">
        <v>8</v>
      </c>
      <c r="B12" s="2" t="s">
        <v>67</v>
      </c>
      <c r="C12" s="2" t="s">
        <v>68</v>
      </c>
      <c r="D12" s="14">
        <v>18</v>
      </c>
      <c r="E12" s="4">
        <v>56750</v>
      </c>
      <c r="F12" s="4">
        <f t="shared" si="0"/>
        <v>1021500</v>
      </c>
      <c r="G12" t="s">
        <v>97</v>
      </c>
    </row>
    <row r="13" spans="1:8" x14ac:dyDescent="0.45">
      <c r="A13" s="2">
        <v>9</v>
      </c>
      <c r="B13" s="2" t="s">
        <v>90</v>
      </c>
      <c r="C13" s="2" t="s">
        <v>40</v>
      </c>
      <c r="D13" s="14">
        <v>7</v>
      </c>
      <c r="E13" s="4">
        <v>17333</v>
      </c>
      <c r="F13" s="4">
        <f t="shared" si="0"/>
        <v>121331</v>
      </c>
      <c r="G13" t="str">
        <f>+G8</f>
        <v>que cantidad de m3 de hormigon</v>
      </c>
    </row>
    <row r="14" spans="1:8" x14ac:dyDescent="0.45">
      <c r="A14" s="2">
        <v>10</v>
      </c>
      <c r="B14" s="2" t="s">
        <v>57</v>
      </c>
      <c r="C14" s="2" t="s">
        <v>40</v>
      </c>
      <c r="D14" s="14">
        <v>324</v>
      </c>
      <c r="E14" s="4">
        <v>3076</v>
      </c>
      <c r="F14" s="4">
        <f t="shared" si="0"/>
        <v>996624</v>
      </c>
      <c r="G14" t="s">
        <v>99</v>
      </c>
    </row>
    <row r="15" spans="1:8" x14ac:dyDescent="0.45">
      <c r="A15" s="2">
        <v>11</v>
      </c>
      <c r="B15" s="2" t="s">
        <v>89</v>
      </c>
      <c r="C15" s="2" t="s">
        <v>40</v>
      </c>
      <c r="D15" s="14">
        <v>18</v>
      </c>
      <c r="E15" s="4">
        <v>1200</v>
      </c>
      <c r="F15" s="4">
        <f t="shared" si="0"/>
        <v>21600</v>
      </c>
      <c r="G15" t="s">
        <v>100</v>
      </c>
    </row>
    <row r="16" spans="1:8" x14ac:dyDescent="0.45">
      <c r="A16" s="2">
        <v>12</v>
      </c>
      <c r="B16" s="2" t="s">
        <v>92</v>
      </c>
      <c r="C16" s="2" t="s">
        <v>8</v>
      </c>
      <c r="D16" s="14">
        <v>18</v>
      </c>
      <c r="E16" s="4">
        <v>66200</v>
      </c>
      <c r="F16" s="4">
        <f t="shared" si="0"/>
        <v>1191600</v>
      </c>
      <c r="G16" t="s">
        <v>101</v>
      </c>
    </row>
    <row r="17" spans="1:7" x14ac:dyDescent="0.45">
      <c r="A17" s="2">
        <v>13</v>
      </c>
      <c r="B17" s="2" t="s">
        <v>91</v>
      </c>
      <c r="C17" s="2" t="s">
        <v>40</v>
      </c>
      <c r="D17" s="14">
        <v>18</v>
      </c>
      <c r="E17" s="4">
        <v>13333</v>
      </c>
      <c r="F17" s="4">
        <f t="shared" si="0"/>
        <v>239994</v>
      </c>
      <c r="G17" t="s">
        <v>102</v>
      </c>
    </row>
    <row r="18" spans="1:7" x14ac:dyDescent="0.45">
      <c r="A18" s="2">
        <v>14</v>
      </c>
      <c r="B18" s="2" t="s">
        <v>58</v>
      </c>
      <c r="C18" s="2" t="s">
        <v>60</v>
      </c>
      <c r="D18" s="14">
        <f>83*2</f>
        <v>166</v>
      </c>
      <c r="E18" s="4">
        <v>9870</v>
      </c>
      <c r="F18" s="4">
        <f t="shared" si="0"/>
        <v>1638420</v>
      </c>
      <c r="G18" t="str">
        <f>+G17</f>
        <v xml:space="preserve">cuanto hormigon y que calidad </v>
      </c>
    </row>
    <row r="19" spans="1:7" x14ac:dyDescent="0.45">
      <c r="A19" s="7">
        <v>15</v>
      </c>
      <c r="B19" s="7" t="s">
        <v>93</v>
      </c>
      <c r="C19" s="7" t="s">
        <v>60</v>
      </c>
      <c r="D19" s="15">
        <v>300</v>
      </c>
      <c r="E19" s="8">
        <v>4166</v>
      </c>
      <c r="F19" s="8">
        <f t="shared" si="0"/>
        <v>1249800</v>
      </c>
      <c r="G19" t="s">
        <v>103</v>
      </c>
    </row>
    <row r="20" spans="1:7" x14ac:dyDescent="0.45">
      <c r="A20" s="2">
        <v>16</v>
      </c>
      <c r="B20" s="2" t="s">
        <v>72</v>
      </c>
      <c r="C20" s="2" t="s">
        <v>40</v>
      </c>
      <c r="D20" s="14">
        <v>12</v>
      </c>
      <c r="E20" s="4">
        <v>35000</v>
      </c>
      <c r="F20" s="4">
        <f t="shared" si="0"/>
        <v>420000</v>
      </c>
      <c r="G20" t="str">
        <f>+G17</f>
        <v xml:space="preserve">cuanto hormigon y que calidad </v>
      </c>
    </row>
    <row r="21" spans="1:7" x14ac:dyDescent="0.45">
      <c r="A21" s="17" t="s">
        <v>9</v>
      </c>
      <c r="B21" s="17"/>
      <c r="C21" s="17"/>
      <c r="D21" s="17"/>
      <c r="E21" s="17"/>
      <c r="F21" s="17"/>
    </row>
    <row r="22" spans="1:7" x14ac:dyDescent="0.45">
      <c r="A22" s="2">
        <v>1</v>
      </c>
      <c r="B22" s="2" t="s">
        <v>41</v>
      </c>
      <c r="C22" s="2" t="s">
        <v>40</v>
      </c>
      <c r="D22" s="14">
        <v>114</v>
      </c>
      <c r="E22" s="4">
        <v>29000</v>
      </c>
      <c r="F22" s="4">
        <f>D22*E22</f>
        <v>3306000</v>
      </c>
      <c r="G22" t="s">
        <v>104</v>
      </c>
    </row>
    <row r="23" spans="1:7" ht="26" customHeight="1" x14ac:dyDescent="0.45">
      <c r="A23" s="2">
        <v>2</v>
      </c>
      <c r="B23" s="2" t="s">
        <v>42</v>
      </c>
      <c r="C23" s="2" t="s">
        <v>40</v>
      </c>
      <c r="D23" s="14">
        <v>64</v>
      </c>
      <c r="E23" s="4">
        <v>48000</v>
      </c>
      <c r="F23" s="4">
        <f t="shared" ref="F23:F30" si="1">D23*E23</f>
        <v>3072000</v>
      </c>
      <c r="G23" t="str">
        <f>+G22</f>
        <v>que tipo de panel es</v>
      </c>
    </row>
    <row r="24" spans="1:7" ht="41" customHeight="1" x14ac:dyDescent="0.45">
      <c r="A24" s="2">
        <v>3</v>
      </c>
      <c r="B24" s="2" t="s">
        <v>43</v>
      </c>
      <c r="C24" s="2" t="s">
        <v>40</v>
      </c>
      <c r="D24" s="14">
        <v>60</v>
      </c>
      <c r="E24" s="4">
        <v>58000</v>
      </c>
      <c r="F24" s="4">
        <f t="shared" si="1"/>
        <v>3480000</v>
      </c>
      <c r="G24" t="str">
        <f>+G23</f>
        <v>que tipo de panel es</v>
      </c>
    </row>
    <row r="25" spans="1:7" x14ac:dyDescent="0.45">
      <c r="A25" s="2">
        <v>4</v>
      </c>
      <c r="B25" s="2" t="s">
        <v>44</v>
      </c>
      <c r="C25" s="2" t="s">
        <v>40</v>
      </c>
      <c r="D25" s="14">
        <v>12</v>
      </c>
      <c r="E25" s="4">
        <v>72000</v>
      </c>
      <c r="F25" s="4">
        <f t="shared" si="1"/>
        <v>864000</v>
      </c>
      <c r="G25" t="str">
        <f>+G24</f>
        <v>que tipo de panel es</v>
      </c>
    </row>
    <row r="26" spans="1:7" x14ac:dyDescent="0.45">
      <c r="A26" s="2">
        <v>5</v>
      </c>
      <c r="B26" s="2" t="s">
        <v>45</v>
      </c>
      <c r="C26" s="2" t="s">
        <v>40</v>
      </c>
      <c r="D26" s="14">
        <v>22</v>
      </c>
      <c r="E26" s="4">
        <v>29000</v>
      </c>
      <c r="F26" s="4">
        <f t="shared" si="1"/>
        <v>638000</v>
      </c>
      <c r="G26" t="s">
        <v>105</v>
      </c>
    </row>
    <row r="27" spans="1:7" x14ac:dyDescent="0.45">
      <c r="A27" s="2">
        <v>6</v>
      </c>
      <c r="B27" s="2" t="s">
        <v>85</v>
      </c>
      <c r="C27" s="2" t="s">
        <v>10</v>
      </c>
      <c r="D27" s="14">
        <v>250</v>
      </c>
      <c r="E27" s="4">
        <v>3800</v>
      </c>
      <c r="F27" s="4">
        <f t="shared" si="1"/>
        <v>950000</v>
      </c>
      <c r="G27" t="s">
        <v>106</v>
      </c>
    </row>
    <row r="28" spans="1:7" x14ac:dyDescent="0.45">
      <c r="A28" s="2">
        <v>7</v>
      </c>
      <c r="B28" s="2" t="s">
        <v>86</v>
      </c>
      <c r="C28" s="2" t="s">
        <v>10</v>
      </c>
      <c r="D28" s="14">
        <v>130</v>
      </c>
      <c r="E28" s="4">
        <v>3800</v>
      </c>
      <c r="F28" s="4">
        <f t="shared" si="1"/>
        <v>494000</v>
      </c>
      <c r="G28" t="str">
        <f>+G27</f>
        <v>es empernada o soldada en terreno</v>
      </c>
    </row>
    <row r="29" spans="1:7" x14ac:dyDescent="0.45">
      <c r="A29" s="2">
        <v>8</v>
      </c>
      <c r="B29" s="2" t="s">
        <v>73</v>
      </c>
      <c r="C29" s="2" t="s">
        <v>40</v>
      </c>
      <c r="D29" s="14">
        <v>12</v>
      </c>
      <c r="E29" s="4">
        <v>65000</v>
      </c>
      <c r="F29" s="4">
        <f t="shared" si="1"/>
        <v>780000</v>
      </c>
      <c r="G29" t="str">
        <f>+G26</f>
        <v>se fabrica insitu o se envia fabricado</v>
      </c>
    </row>
    <row r="30" spans="1:7" x14ac:dyDescent="0.45">
      <c r="A30" s="2">
        <v>9</v>
      </c>
      <c r="B30" s="2" t="s">
        <v>74</v>
      </c>
      <c r="C30" s="2" t="s">
        <v>40</v>
      </c>
      <c r="D30" s="14">
        <v>16</v>
      </c>
      <c r="E30" s="4">
        <v>65000</v>
      </c>
      <c r="F30" s="4">
        <f t="shared" si="1"/>
        <v>1040000</v>
      </c>
      <c r="G30" t="s">
        <v>107</v>
      </c>
    </row>
    <row r="31" spans="1:7" x14ac:dyDescent="0.45">
      <c r="A31" s="17" t="s">
        <v>83</v>
      </c>
      <c r="B31" s="17"/>
      <c r="C31" s="17"/>
      <c r="D31" s="17"/>
      <c r="E31" s="17"/>
      <c r="F31" s="17"/>
    </row>
    <row r="32" spans="1:7" x14ac:dyDescent="0.45">
      <c r="A32" s="2">
        <v>1</v>
      </c>
      <c r="B32" s="2" t="s">
        <v>48</v>
      </c>
      <c r="C32" s="2" t="s">
        <v>8</v>
      </c>
      <c r="D32" s="14">
        <v>141</v>
      </c>
      <c r="E32" s="4">
        <v>45000</v>
      </c>
      <c r="F32" s="4">
        <f>D32*E32</f>
        <v>6345000</v>
      </c>
    </row>
    <row r="33" spans="1:7" x14ac:dyDescent="0.45">
      <c r="A33" s="2">
        <v>2</v>
      </c>
      <c r="B33" s="2" t="s">
        <v>49</v>
      </c>
      <c r="C33" s="2" t="s">
        <v>8</v>
      </c>
      <c r="D33" s="14">
        <v>48</v>
      </c>
      <c r="E33" s="4">
        <v>55000</v>
      </c>
      <c r="F33" s="4">
        <f t="shared" ref="F33:F35" si="2">D33*E33</f>
        <v>2640000</v>
      </c>
    </row>
    <row r="34" spans="1:7" x14ac:dyDescent="0.45">
      <c r="A34" s="2">
        <v>3</v>
      </c>
      <c r="B34" s="2" t="s">
        <v>76</v>
      </c>
      <c r="C34" s="2" t="s">
        <v>8</v>
      </c>
      <c r="D34" s="14">
        <v>307</v>
      </c>
      <c r="E34" s="4">
        <v>14000</v>
      </c>
      <c r="F34" s="4">
        <f t="shared" si="2"/>
        <v>4298000</v>
      </c>
    </row>
    <row r="35" spans="1:7" x14ac:dyDescent="0.45">
      <c r="A35" s="2">
        <v>4</v>
      </c>
      <c r="B35" s="2" t="s">
        <v>84</v>
      </c>
      <c r="C35" s="2"/>
      <c r="D35" s="14">
        <v>18</v>
      </c>
      <c r="E35" s="4">
        <v>15000</v>
      </c>
      <c r="F35" s="4">
        <f t="shared" si="2"/>
        <v>270000</v>
      </c>
    </row>
    <row r="36" spans="1:7" x14ac:dyDescent="0.45">
      <c r="A36" s="17" t="s">
        <v>47</v>
      </c>
      <c r="B36" s="17"/>
      <c r="C36" s="17"/>
      <c r="D36" s="17"/>
      <c r="E36" s="17"/>
      <c r="F36" s="17"/>
    </row>
    <row r="37" spans="1:7" x14ac:dyDescent="0.45">
      <c r="A37" s="2">
        <v>1</v>
      </c>
      <c r="B37" s="2" t="s">
        <v>50</v>
      </c>
      <c r="C37" s="2" t="s">
        <v>8</v>
      </c>
      <c r="D37" s="14">
        <v>49</v>
      </c>
      <c r="E37" s="4">
        <v>20000</v>
      </c>
      <c r="F37" s="4">
        <f>E37*D37</f>
        <v>980000</v>
      </c>
    </row>
    <row r="38" spans="1:7" x14ac:dyDescent="0.45">
      <c r="A38" s="2">
        <v>2</v>
      </c>
      <c r="B38" s="2" t="s">
        <v>51</v>
      </c>
      <c r="C38" s="2" t="s">
        <v>8</v>
      </c>
      <c r="D38" s="14">
        <v>14</v>
      </c>
      <c r="E38" s="4">
        <v>25000</v>
      </c>
      <c r="F38" s="4">
        <f t="shared" ref="F38:F43" si="3">E38*D38</f>
        <v>350000</v>
      </c>
    </row>
    <row r="39" spans="1:7" x14ac:dyDescent="0.45">
      <c r="A39" s="2">
        <v>3</v>
      </c>
      <c r="B39" s="2" t="s">
        <v>52</v>
      </c>
      <c r="C39" s="2" t="s">
        <v>8</v>
      </c>
      <c r="D39" s="14">
        <v>128</v>
      </c>
      <c r="E39" s="4">
        <v>25000</v>
      </c>
      <c r="F39" s="4">
        <f t="shared" si="3"/>
        <v>3200000</v>
      </c>
    </row>
    <row r="40" spans="1:7" x14ac:dyDescent="0.45">
      <c r="A40" s="2">
        <v>4</v>
      </c>
      <c r="B40" s="2" t="s">
        <v>53</v>
      </c>
      <c r="C40" s="2" t="s">
        <v>8</v>
      </c>
      <c r="D40" s="14">
        <v>5</v>
      </c>
      <c r="E40" s="4">
        <v>55000</v>
      </c>
      <c r="F40" s="4">
        <f t="shared" si="3"/>
        <v>275000</v>
      </c>
    </row>
    <row r="41" spans="1:7" x14ac:dyDescent="0.45">
      <c r="A41" s="2">
        <v>5</v>
      </c>
      <c r="B41" s="2" t="s">
        <v>54</v>
      </c>
      <c r="C41" s="2" t="s">
        <v>8</v>
      </c>
      <c r="D41" s="14">
        <v>22</v>
      </c>
      <c r="E41" s="4">
        <v>45000</v>
      </c>
      <c r="F41" s="4">
        <f t="shared" si="3"/>
        <v>990000</v>
      </c>
    </row>
    <row r="42" spans="1:7" x14ac:dyDescent="0.45">
      <c r="A42" s="2">
        <v>6</v>
      </c>
      <c r="B42" s="2" t="s">
        <v>55</v>
      </c>
      <c r="C42" s="2" t="s">
        <v>8</v>
      </c>
      <c r="D42" s="14">
        <v>59</v>
      </c>
      <c r="E42" s="4">
        <v>38000</v>
      </c>
      <c r="F42" s="4">
        <f t="shared" si="3"/>
        <v>2242000</v>
      </c>
    </row>
    <row r="43" spans="1:7" x14ac:dyDescent="0.45">
      <c r="A43" s="2">
        <v>7</v>
      </c>
      <c r="B43" s="2" t="s">
        <v>56</v>
      </c>
      <c r="C43" s="2" t="s">
        <v>8</v>
      </c>
      <c r="D43" s="14">
        <v>19</v>
      </c>
      <c r="E43" s="4">
        <v>55000</v>
      </c>
      <c r="F43" s="4">
        <f t="shared" si="3"/>
        <v>1045000</v>
      </c>
    </row>
    <row r="44" spans="1:7" x14ac:dyDescent="0.45">
      <c r="A44" s="17" t="s">
        <v>11</v>
      </c>
      <c r="B44" s="17"/>
      <c r="C44" s="17"/>
      <c r="D44" s="17"/>
      <c r="E44" s="17"/>
      <c r="F44" s="17"/>
    </row>
    <row r="45" spans="1:7" x14ac:dyDescent="0.45">
      <c r="A45" s="2">
        <v>1</v>
      </c>
      <c r="B45" s="2" t="s">
        <v>69</v>
      </c>
      <c r="C45" s="2" t="s">
        <v>8</v>
      </c>
      <c r="D45" s="14">
        <v>221</v>
      </c>
      <c r="E45" s="13">
        <v>18000</v>
      </c>
      <c r="F45" s="4">
        <f>D45*E45</f>
        <v>3978000</v>
      </c>
      <c r="G45" t="s">
        <v>108</v>
      </c>
    </row>
    <row r="46" spans="1:7" x14ac:dyDescent="0.45">
      <c r="A46" s="7">
        <v>2</v>
      </c>
      <c r="B46" s="7" t="s">
        <v>70</v>
      </c>
      <c r="C46" s="7" t="s">
        <v>8</v>
      </c>
      <c r="D46" s="15">
        <v>46</v>
      </c>
      <c r="E46" s="16">
        <v>25000</v>
      </c>
      <c r="F46" s="8">
        <f t="shared" ref="F46:F49" si="4">D46*E46</f>
        <v>1150000</v>
      </c>
    </row>
    <row r="47" spans="1:7" ht="21" customHeight="1" x14ac:dyDescent="0.45">
      <c r="A47" s="7">
        <v>3</v>
      </c>
      <c r="B47" s="7" t="s">
        <v>71</v>
      </c>
      <c r="C47" s="7"/>
      <c r="D47" s="15"/>
      <c r="E47" s="16"/>
      <c r="F47" s="8">
        <f t="shared" si="4"/>
        <v>0</v>
      </c>
    </row>
    <row r="48" spans="1:7" ht="21" customHeight="1" x14ac:dyDescent="0.45">
      <c r="A48" s="2">
        <v>4</v>
      </c>
      <c r="B48" s="2" t="s">
        <v>59</v>
      </c>
      <c r="C48" s="2" t="s">
        <v>60</v>
      </c>
      <c r="D48" s="14">
        <v>166</v>
      </c>
      <c r="E48" s="13">
        <v>5500</v>
      </c>
      <c r="F48" s="4">
        <f t="shared" si="4"/>
        <v>913000</v>
      </c>
      <c r="G48" t="str">
        <f>+G18</f>
        <v xml:space="preserve">cuanto hormigon y que calidad </v>
      </c>
    </row>
    <row r="49" spans="1:7" x14ac:dyDescent="0.45">
      <c r="A49" s="2">
        <v>5</v>
      </c>
      <c r="B49" s="2" t="s">
        <v>94</v>
      </c>
      <c r="C49" s="2" t="s">
        <v>8</v>
      </c>
      <c r="D49" s="14">
        <v>45</v>
      </c>
      <c r="E49" s="13">
        <v>22000</v>
      </c>
      <c r="F49" s="4">
        <f t="shared" si="4"/>
        <v>990000</v>
      </c>
      <c r="G49" t="s">
        <v>109</v>
      </c>
    </row>
    <row r="50" spans="1:7" x14ac:dyDescent="0.45">
      <c r="A50" s="17" t="s">
        <v>12</v>
      </c>
      <c r="B50" s="17"/>
      <c r="C50" s="17"/>
      <c r="D50" s="17"/>
      <c r="E50" s="17"/>
      <c r="F50" s="17"/>
    </row>
    <row r="51" spans="1:7" x14ac:dyDescent="0.45">
      <c r="A51" s="2">
        <v>1</v>
      </c>
      <c r="B51" s="2" t="s">
        <v>13</v>
      </c>
      <c r="C51" s="2" t="s">
        <v>8</v>
      </c>
      <c r="D51" s="14">
        <v>425</v>
      </c>
      <c r="E51" s="13">
        <v>8500</v>
      </c>
      <c r="F51" s="4">
        <f>D51*E51</f>
        <v>3612500</v>
      </c>
      <c r="G51" t="s">
        <v>110</v>
      </c>
    </row>
    <row r="52" spans="1:7" x14ac:dyDescent="0.45">
      <c r="A52" s="2">
        <v>2</v>
      </c>
      <c r="B52" s="2" t="s">
        <v>14</v>
      </c>
      <c r="C52" s="2" t="s">
        <v>40</v>
      </c>
      <c r="D52" s="14">
        <v>20</v>
      </c>
      <c r="E52" s="13">
        <v>18500</v>
      </c>
      <c r="F52" s="4">
        <f t="shared" ref="F52:F54" si="5">D52*E52</f>
        <v>370000</v>
      </c>
      <c r="G52" t="s">
        <v>111</v>
      </c>
    </row>
    <row r="53" spans="1:7" x14ac:dyDescent="0.45">
      <c r="A53" s="2">
        <v>3</v>
      </c>
      <c r="B53" s="2" t="s">
        <v>87</v>
      </c>
      <c r="C53" s="2" t="s">
        <v>10</v>
      </c>
      <c r="D53" s="14">
        <v>350</v>
      </c>
      <c r="E53" s="13">
        <v>150</v>
      </c>
      <c r="F53" s="4">
        <f t="shared" si="5"/>
        <v>52500</v>
      </c>
      <c r="G53" t="s">
        <v>112</v>
      </c>
    </row>
    <row r="54" spans="1:7" x14ac:dyDescent="0.45">
      <c r="A54" s="2">
        <v>4</v>
      </c>
      <c r="B54" s="2" t="s">
        <v>88</v>
      </c>
      <c r="C54" s="2" t="s">
        <v>10</v>
      </c>
      <c r="D54" s="14">
        <v>350</v>
      </c>
      <c r="E54" s="13">
        <v>250</v>
      </c>
      <c r="F54" s="4">
        <f t="shared" si="5"/>
        <v>87500</v>
      </c>
      <c r="G54" t="s">
        <v>113</v>
      </c>
    </row>
    <row r="55" spans="1:7" x14ac:dyDescent="0.45">
      <c r="A55" s="17" t="s">
        <v>15</v>
      </c>
      <c r="B55" s="17"/>
      <c r="C55" s="17"/>
      <c r="D55" s="17"/>
      <c r="E55" s="17"/>
      <c r="F55" s="17"/>
    </row>
    <row r="56" spans="1:7" x14ac:dyDescent="0.45">
      <c r="A56" s="2">
        <v>1</v>
      </c>
      <c r="B56" s="2" t="s">
        <v>16</v>
      </c>
      <c r="C56" s="2" t="s">
        <v>60</v>
      </c>
      <c r="D56" s="14">
        <v>20</v>
      </c>
      <c r="E56" s="13">
        <v>22000</v>
      </c>
      <c r="F56" s="4">
        <f>D56*E56</f>
        <v>440000</v>
      </c>
      <c r="G56" t="s">
        <v>114</v>
      </c>
    </row>
    <row r="57" spans="1:7" x14ac:dyDescent="0.45">
      <c r="A57" s="2">
        <v>2</v>
      </c>
      <c r="B57" s="2" t="s">
        <v>75</v>
      </c>
      <c r="C57" s="2" t="s">
        <v>40</v>
      </c>
      <c r="D57" s="14">
        <v>403</v>
      </c>
      <c r="E57" s="13">
        <v>17000</v>
      </c>
      <c r="F57" s="4">
        <f t="shared" ref="F57:F60" si="6">D57*E57</f>
        <v>6851000</v>
      </c>
      <c r="G57" t="str">
        <f>+G56</f>
        <v xml:space="preserve">es para chaf de segundo piso </v>
      </c>
    </row>
    <row r="58" spans="1:7" x14ac:dyDescent="0.45">
      <c r="A58" s="2">
        <v>3</v>
      </c>
      <c r="B58" s="2" t="s">
        <v>95</v>
      </c>
      <c r="C58" s="2" t="s">
        <v>40</v>
      </c>
      <c r="D58" s="14">
        <v>403</v>
      </c>
      <c r="E58" s="13">
        <v>8000</v>
      </c>
      <c r="F58" s="4">
        <f>D58*E58</f>
        <v>3224000</v>
      </c>
      <c r="G58" t="str">
        <f>+G57</f>
        <v xml:space="preserve">es para chaf de segundo piso </v>
      </c>
    </row>
    <row r="59" spans="1:7" x14ac:dyDescent="0.45">
      <c r="A59" s="2">
        <v>4</v>
      </c>
      <c r="B59" s="2" t="s">
        <v>96</v>
      </c>
      <c r="C59" s="2" t="s">
        <v>8</v>
      </c>
      <c r="D59" s="14">
        <v>7</v>
      </c>
      <c r="E59" s="13">
        <v>65000</v>
      </c>
      <c r="F59" s="4">
        <f t="shared" si="6"/>
        <v>455000</v>
      </c>
    </row>
    <row r="60" spans="1:7" x14ac:dyDescent="0.45">
      <c r="A60" s="2">
        <v>5</v>
      </c>
      <c r="B60" s="2" t="s">
        <v>18</v>
      </c>
      <c r="C60" s="2" t="s">
        <v>17</v>
      </c>
      <c r="D60" s="14">
        <v>1</v>
      </c>
      <c r="E60" s="13">
        <v>2200000</v>
      </c>
      <c r="F60" s="4">
        <f t="shared" si="6"/>
        <v>2200000</v>
      </c>
    </row>
    <row r="61" spans="1:7" x14ac:dyDescent="0.45">
      <c r="A61" s="2"/>
      <c r="B61" s="2"/>
      <c r="C61" s="2"/>
      <c r="D61" s="3"/>
      <c r="E61" s="2"/>
      <c r="F61" s="2"/>
    </row>
    <row r="62" spans="1:7" ht="21.75" customHeight="1" x14ac:dyDescent="0.45">
      <c r="A62" s="18" t="s">
        <v>77</v>
      </c>
      <c r="B62" s="18"/>
      <c r="C62" s="18"/>
      <c r="D62" s="18"/>
      <c r="E62" s="18"/>
      <c r="F62" s="11">
        <f>SUM(F4:F60)</f>
        <v>75518869</v>
      </c>
    </row>
    <row r="63" spans="1:7" x14ac:dyDescent="0.45">
      <c r="D63" t="s">
        <v>78</v>
      </c>
      <c r="E63" s="10">
        <v>0.1</v>
      </c>
      <c r="F63" s="12">
        <f>F62*E63</f>
        <v>7551886.9000000004</v>
      </c>
    </row>
    <row r="64" spans="1:7" x14ac:dyDescent="0.45">
      <c r="D64" t="s">
        <v>79</v>
      </c>
      <c r="E64" s="10">
        <v>0.1</v>
      </c>
      <c r="F64" s="12">
        <f>F62*E64</f>
        <v>7551886.9000000004</v>
      </c>
    </row>
    <row r="65" spans="4:6" x14ac:dyDescent="0.45">
      <c r="D65" t="s">
        <v>80</v>
      </c>
      <c r="F65" s="12">
        <f>F64+F63+F62</f>
        <v>90622642.799999997</v>
      </c>
    </row>
    <row r="66" spans="4:6" x14ac:dyDescent="0.45">
      <c r="D66" t="s">
        <v>81</v>
      </c>
      <c r="F66" s="12">
        <f>F65*0.19</f>
        <v>17218302.131999999</v>
      </c>
    </row>
    <row r="67" spans="4:6" x14ac:dyDescent="0.45">
      <c r="D67" t="s">
        <v>82</v>
      </c>
      <c r="F67" s="12">
        <f>+F66+F65</f>
        <v>107840944.932</v>
      </c>
    </row>
  </sheetData>
  <mergeCells count="9">
    <mergeCell ref="A44:F44"/>
    <mergeCell ref="A50:F50"/>
    <mergeCell ref="A55:F55"/>
    <mergeCell ref="A62:E62"/>
    <mergeCell ref="A1:F1"/>
    <mergeCell ref="A4:F4"/>
    <mergeCell ref="A21:F21"/>
    <mergeCell ref="A31:F31"/>
    <mergeCell ref="A36:F36"/>
  </mergeCells>
  <phoneticPr fontId="8" type="noConversion"/>
  <pageMargins left="0.75" right="0.75" top="1" bottom="1" header="0.511811023622047" footer="0.511811023622047"/>
  <pageSetup paperSize="9" scale="39" orientation="landscape" horizontalDpi="300" verticalDpi="300" r:id="rId1"/>
  <rowBreaks count="1" manualBreakCount="1">
    <brk id="4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5"/>
  <sheetViews>
    <sheetView zoomScaleNormal="100" workbookViewId="0">
      <selection activeCell="A18" sqref="A18"/>
    </sheetView>
  </sheetViews>
  <sheetFormatPr baseColWidth="10" defaultColWidth="8.6640625" defaultRowHeight="14.25" x14ac:dyDescent="0.45"/>
  <cols>
    <col min="1" max="1" width="112" customWidth="1"/>
  </cols>
  <sheetData>
    <row r="1" spans="1:1" ht="19.5" customHeight="1" x14ac:dyDescent="0.45">
      <c r="A1" s="5" t="s">
        <v>19</v>
      </c>
    </row>
    <row r="2" spans="1:1" ht="30" customHeight="1" x14ac:dyDescent="0.45">
      <c r="A2" s="6" t="s">
        <v>20</v>
      </c>
    </row>
    <row r="3" spans="1:1" ht="30" customHeight="1" x14ac:dyDescent="0.45">
      <c r="A3" s="6" t="s">
        <v>21</v>
      </c>
    </row>
    <row r="4" spans="1:1" ht="30" customHeight="1" x14ac:dyDescent="0.45">
      <c r="A4" s="6" t="s">
        <v>22</v>
      </c>
    </row>
    <row r="5" spans="1:1" ht="6" customHeight="1" x14ac:dyDescent="0.45">
      <c r="A5" s="6"/>
    </row>
    <row r="6" spans="1:1" ht="19.5" customHeight="1" x14ac:dyDescent="0.45">
      <c r="A6" s="5" t="s">
        <v>23</v>
      </c>
    </row>
    <row r="7" spans="1:1" ht="30" customHeight="1" x14ac:dyDescent="0.45">
      <c r="A7" s="6" t="s">
        <v>24</v>
      </c>
    </row>
    <row r="8" spans="1:1" ht="30" customHeight="1" x14ac:dyDescent="0.45">
      <c r="A8" s="6" t="s">
        <v>25</v>
      </c>
    </row>
    <row r="9" spans="1:1" ht="30" customHeight="1" x14ac:dyDescent="0.45">
      <c r="A9" s="6" t="s">
        <v>26</v>
      </c>
    </row>
    <row r="10" spans="1:1" ht="30" customHeight="1" x14ac:dyDescent="0.45">
      <c r="A10" s="6" t="s">
        <v>27</v>
      </c>
    </row>
    <row r="11" spans="1:1" ht="6" customHeight="1" x14ac:dyDescent="0.45">
      <c r="A11" s="6"/>
    </row>
    <row r="12" spans="1:1" ht="19.5" customHeight="1" x14ac:dyDescent="0.45">
      <c r="A12" s="5" t="s">
        <v>28</v>
      </c>
    </row>
    <row r="13" spans="1:1" ht="30" customHeight="1" x14ac:dyDescent="0.45">
      <c r="A13" s="6" t="s">
        <v>29</v>
      </c>
    </row>
    <row r="14" spans="1:1" ht="30" customHeight="1" x14ac:dyDescent="0.45">
      <c r="A14" s="6" t="s">
        <v>30</v>
      </c>
    </row>
    <row r="15" spans="1:1" ht="30" customHeight="1" x14ac:dyDescent="0.45">
      <c r="A15" s="6" t="s">
        <v>31</v>
      </c>
    </row>
    <row r="16" spans="1:1" ht="6" customHeight="1" x14ac:dyDescent="0.45">
      <c r="A16" s="6"/>
    </row>
    <row r="17" spans="1:1" ht="19.5" customHeight="1" x14ac:dyDescent="0.45">
      <c r="A17" s="5" t="s">
        <v>32</v>
      </c>
    </row>
    <row r="18" spans="1:1" ht="30" customHeight="1" x14ac:dyDescent="0.45">
      <c r="A18" s="6" t="s">
        <v>33</v>
      </c>
    </row>
    <row r="19" spans="1:1" ht="30" customHeight="1" x14ac:dyDescent="0.45">
      <c r="A19" s="6" t="s">
        <v>34</v>
      </c>
    </row>
    <row r="20" spans="1:1" ht="30" customHeight="1" x14ac:dyDescent="0.45">
      <c r="A20" s="6" t="s">
        <v>35</v>
      </c>
    </row>
    <row r="21" spans="1:1" ht="30" customHeight="1" x14ac:dyDescent="0.45">
      <c r="A21" s="6" t="s">
        <v>36</v>
      </c>
    </row>
    <row r="22" spans="1:1" ht="6" customHeight="1" x14ac:dyDescent="0.45">
      <c r="A22" s="6"/>
    </row>
    <row r="23" spans="1:1" ht="19.5" customHeight="1" x14ac:dyDescent="0.45">
      <c r="A23" s="5" t="s">
        <v>37</v>
      </c>
    </row>
    <row r="24" spans="1:1" ht="30" customHeight="1" x14ac:dyDescent="0.45">
      <c r="A24" s="6" t="s">
        <v>38</v>
      </c>
    </row>
    <row r="25" spans="1:1" ht="30" customHeight="1" x14ac:dyDescent="0.45">
      <c r="A25" s="6" t="s">
        <v>39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Presupuesto</vt:lpstr>
      <vt:lpstr>Notas y Exclusiones</vt:lpstr>
      <vt:lpstr>Presupuesto!Área_de_impresión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Oscar Arevalo</cp:lastModifiedBy>
  <cp:revision>0</cp:revision>
  <cp:lastPrinted>2026-06-22T15:26:13Z</cp:lastPrinted>
  <dcterms:created xsi:type="dcterms:W3CDTF">2026-06-21T03:23:32Z</dcterms:created>
  <dcterms:modified xsi:type="dcterms:W3CDTF">2026-06-23T21:08:48Z</dcterms:modified>
  <dc:language>en-US</dc:language>
</cp:coreProperties>
</file>